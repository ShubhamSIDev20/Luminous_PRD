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500" firstSheet="0" activeTab="0" autoFilterDateGrouping="1"/>
  </bookViews>
  <sheets>
    <sheet name="Task Sheet" sheetId="1" state="visible" r:id="rId1"/>
    <sheet name="Summary" sheetId="2" state="hidden" r:id="rId2"/>
  </sheets>
  <definedNames>
    <definedName name="_xlnm._FilterDatabase" localSheetId="0" hidden="1">'Task Sheet'!$A$1:$J$25</definedName>
  </definedNames>
  <calcPr calcId="191029" fullCalcOnLoad="1" iterateDelta="0.0001"/>
</workbook>
</file>

<file path=xl/styles.xml><?xml version="1.0" encoding="utf-8"?>
<styleSheet xmlns="http://schemas.openxmlformats.org/spreadsheetml/2006/main">
  <numFmts count="2">
    <numFmt numFmtId="164" formatCode="0.0%"/>
    <numFmt numFmtId="165" formatCode="yyyy-mm-dd h:mm:ss"/>
  </numFmts>
  <fonts count="5">
    <font>
      <name val="Calibri"/>
      <charset val="1"/>
      <family val="2"/>
      <color theme="1"/>
      <sz val="11"/>
    </font>
    <font>
      <name val="Arial"/>
      <charset val="1"/>
      <b val="1"/>
      <color rgb="FF1F3864"/>
      <sz val="16"/>
    </font>
    <font>
      <name val="Arial"/>
      <charset val="1"/>
      <i val="1"/>
      <color rgb="FF595959"/>
      <sz val="10"/>
    </font>
    <font>
      <name val="Arial"/>
      <charset val="1"/>
      <sz val="10"/>
    </font>
    <font>
      <name val="Arial"/>
      <charset val="1"/>
      <b val="1"/>
      <color rgb="FFFFFFFF"/>
      <sz val="11"/>
    </font>
  </fonts>
  <fills count="8">
    <fill>
      <patternFill/>
    </fill>
    <fill>
      <patternFill patternType="gray125"/>
    </fill>
    <fill>
      <patternFill patternType="solid">
        <fgColor rgb="FF1F3864"/>
        <bgColor rgb="FF333399"/>
      </patternFill>
    </fill>
    <fill>
      <patternFill patternType="solid">
        <fgColor rgb="FFFFFFFF"/>
        <bgColor rgb="FFF5F5F5"/>
      </patternFill>
    </fill>
    <fill>
      <patternFill patternType="solid">
        <fgColor rgb="FFF5F5F5"/>
        <bgColor rgb="FFEDF3FB"/>
      </patternFill>
    </fill>
    <fill>
      <patternFill patternType="solid">
        <fgColor rgb="FFEDF3FB"/>
        <bgColor rgb="FFF5F5F5"/>
      </patternFill>
    </fill>
    <fill>
      <patternFill patternType="solid">
        <fgColor rgb="FFE2ECF7"/>
        <bgColor rgb="FFEDF3FB"/>
      </patternFill>
    </fill>
    <fill>
      <patternFill patternType="solid">
        <fgColor rgb="FFFDEBD3"/>
        <bgColor rgb="FFF5F5F5"/>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4"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14" fontId="3" fillId="3"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4" borderId="1" applyAlignment="1" pivotButton="0" quotePrefix="0" xfId="0">
      <alignment horizontal="left" vertical="center" wrapText="1"/>
    </xf>
    <xf numFmtId="14"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5" borderId="1" applyAlignment="1" pivotButton="0" quotePrefix="0" xfId="0">
      <alignment horizontal="left" vertical="center" wrapText="1"/>
    </xf>
    <xf numFmtId="14"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6" borderId="1" applyAlignment="1" pivotButton="0" quotePrefix="0" xfId="0">
      <alignment horizontal="left" vertical="center" wrapText="1"/>
    </xf>
    <xf numFmtId="14"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7" borderId="1" applyAlignment="1" pivotButton="0" quotePrefix="0" xfId="0">
      <alignment horizontal="left" vertical="center" wrapText="1"/>
    </xf>
    <xf numFmtId="0" fontId="4" fillId="2" borderId="1" applyAlignment="1" pivotButton="0" quotePrefix="0" xfId="0">
      <alignment horizontal="center"/>
    </xf>
    <xf numFmtId="0" fontId="4" fillId="2" borderId="1" applyAlignment="1" pivotButton="0" quotePrefix="0" xfId="0">
      <alignment horizontal="center" wrapText="1"/>
    </xf>
    <xf numFmtId="0" fontId="3" fillId="0" borderId="1" applyAlignment="1" pivotButton="0" quotePrefix="0" xfId="0">
      <alignment horizontal="center"/>
    </xf>
    <xf numFmtId="164" fontId="3" fillId="0" borderId="1" applyAlignment="1" pivotButton="0" quotePrefix="0" xfId="0">
      <alignment horizontal="center"/>
    </xf>
    <xf numFmtId="0" fontId="3" fillId="0" borderId="1" applyAlignment="1" pivotButton="0" quotePrefix="0" xfId="0">
      <alignment horizontal="left" wrapText="1"/>
    </xf>
    <xf numFmtId="14" fontId="3" fillId="7" borderId="1" applyAlignment="1" pivotButton="0" quotePrefix="0" xfId="0">
      <alignment horizontal="center" vertical="center" wrapText="1"/>
    </xf>
  </cellXfs>
  <cellStyles count="1">
    <cellStyle name="Normal" xfId="0" builtinId="0"/>
  </cellStyles>
  <dxfs count="4">
    <dxf>
      <font>
        <name val="Arial"/>
        <charset val="1"/>
        <b val="1"/>
        <color rgb="FF000000"/>
      </font>
      <fill>
        <patternFill>
          <bgColor rgb="FFFFC7CE"/>
        </patternFill>
      </fill>
    </dxf>
    <dxf>
      <font>
        <name val="Arial"/>
        <charset val="1"/>
        <b val="1"/>
        <color rgb="FF000000"/>
      </font>
      <fill>
        <patternFill>
          <bgColor rgb="FFFFEB9C"/>
        </patternFill>
      </fill>
    </dxf>
    <dxf>
      <font>
        <name val="Arial"/>
        <charset val="1"/>
        <b val="1"/>
        <color rgb="FF000000"/>
      </font>
      <fill>
        <patternFill>
          <bgColor rgb="FFC6EFCE"/>
        </patternFill>
      </fill>
    </dxf>
    <dxf>
      <font>
        <name val="Arial"/>
        <charset val="1"/>
        <b val="1"/>
        <color rgb="FF000000"/>
      </font>
      <fill>
        <patternFill>
          <bgColor rgb="FFFFC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78787"/>
      <rgbColor rgb="FF9999FF"/>
      <rgbColor rgb="FFC0504D"/>
      <rgbColor rgb="FFFDEBD3"/>
      <rgbColor rgb="FFE2EC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DF3FB"/>
      <rgbColor rgb="FFC6EFCE"/>
      <rgbColor rgb="FFFFEB9C"/>
      <rgbColor rgb="FFF5F5F5"/>
      <rgbColor rgb="FFFF99CC"/>
      <rgbColor rgb="FFCC99FF"/>
      <rgbColor rgb="FFFFC7CE"/>
      <rgbColor rgb="FF4F81BD"/>
      <rgbColor rgb="FF33CCCC"/>
      <rgbColor rgb="FF9BBB59"/>
      <rgbColor rgb="FFFFC000"/>
      <rgbColor rgb="FFFF9900"/>
      <rgbColor rgb="FFFF6600"/>
      <rgbColor rgb="FF8064A2"/>
      <rgbColor rgb="FF969696"/>
      <rgbColor rgb="FF1F3864"/>
      <rgbColor rgb="FF339966"/>
      <rgbColor rgb="FF003300"/>
      <rgbColor rgb="FF333300"/>
      <rgbColor rgb="FF993300"/>
      <rgbColor rgb="FF993366"/>
      <rgbColor rgb="FF333399"/>
      <rgbColor rgb="FF595959"/>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harts/chart1.xml><?xml version="1.0" encoding="utf-8"?>
<chartSpace xmlns:a="http://schemas.openxmlformats.org/drawingml/2006/main" xmlns="http://schemas.openxmlformats.org/drawingml/2006/chart">
  <chart>
    <title>
      <tx>
        <rich>
          <a:bodyPr rot="0"/>
          <a:lstStyle/>
          <a:p>
            <a:pPr>
              <a:defRPr sz="1800" b="1" strike="noStrike" spc="-1">
                <a:solidFill>
                  <a:srgbClr val="000000"/>
                </a:solidFill>
                <a:latin typeface="Calibri"/>
              </a:defRPr>
            </a:pPr>
            <a:r>
              <a:rPr lang="en-IN" sz="1800" b="1" strike="noStrike" spc="-1">
                <a:solidFill>
                  <a:srgbClr val="000000"/>
                </a:solidFill>
                <a:latin typeface="Calibri"/>
              </a:rPr>
              <a:t>Tasks by Status</a:t>
            </a:r>
          </a:p>
        </rich>
      </tx>
      <overlay val="0"/>
      <spPr>
        <a:noFill/>
        <a:ln w="0">
          <a:noFill/>
          <a:prstDash val="solid"/>
        </a:ln>
      </spPr>
    </title>
    <plotArea>
      <layout/>
      <pieChart>
        <varyColors val="1"/>
        <ser>
          <idx val="0"/>
          <order val="0"/>
          <tx>
            <strRef>
              <f>Summary!$C$5</f>
              <strCache>
                <ptCount val="1"/>
                <pt idx="0">
                  <v>Count</v>
                </pt>
              </strCache>
            </strRef>
          </tx>
          <spPr>
            <a:solidFill>
              <a:srgbClr val="4F81BD"/>
            </a:solidFill>
            <a:ln w="0">
              <a:noFill/>
              <a:prstDash val="solid"/>
            </a:ln>
          </spPr>
          <dPt>
            <idx val="0"/>
            <bubble3D val="0"/>
            <spPr>
              <a:ln>
                <a:prstDash val="solid"/>
              </a:ln>
            </spPr>
          </dPt>
          <dPt>
            <idx val="1"/>
            <bubble3D val="0"/>
            <spPr>
              <a:solidFill>
                <a:srgbClr val="C0504D"/>
              </a:solidFill>
              <a:ln w="0">
                <a:noFill/>
                <a:prstDash val="solid"/>
              </a:ln>
            </spPr>
          </dPt>
          <dPt>
            <idx val="2"/>
            <bubble3D val="0"/>
            <spPr>
              <a:solidFill>
                <a:srgbClr val="9BBB59"/>
              </a:solidFill>
              <a:ln w="0">
                <a:noFill/>
                <a:prstDash val="solid"/>
              </a:ln>
            </spPr>
          </dPt>
          <dPt>
            <idx val="3"/>
            <bubble3D val="0"/>
            <spPr>
              <a:solidFill>
                <a:srgbClr val="8064A2"/>
              </a:solidFill>
              <a:ln w="0">
                <a:noFill/>
                <a:prstDash val="solid"/>
              </a:ln>
            </spPr>
          </dPt>
          <dLbls>
            <dLbl>
              <idx val="0"/>
              <spPr>
                <a:ln>
                  <a:prstDash val="solid"/>
                </a:ln>
              </spPr>
              <txPr>
                <a:bodyPr/>
                <a:lstStyle/>
                <a:p>
                  <a:pPr>
                    <a:defRPr sz="1000" b="0" strike="noStrike" spc="-1">
                      <a:latin typeface="Arial"/>
                    </a:defRPr>
                  </a:pPr>
                  <a:r>
                    <a:t>None</a:t>
                  </a:r>
                  <a:endParaRPr lang="en-US"/>
                </a:p>
              </txPr>
              <showLegendKey val="0"/>
              <showVal val="0"/>
              <showCatName val="0"/>
              <showSerName val="0"/>
              <showPercent val="0"/>
              <showBubbleSize val="1"/>
            </dLbl>
            <dLbl>
              <idx val="1"/>
              <spPr>
                <a:ln>
                  <a:prstDash val="solid"/>
                </a:ln>
              </spPr>
              <txPr>
                <a:bodyPr/>
                <a:lstStyle/>
                <a:p>
                  <a:pPr>
                    <a:defRPr sz="1000" b="0" strike="noStrike" spc="-1">
                      <a:latin typeface="Arial"/>
                    </a:defRPr>
                  </a:pPr>
                  <a:r>
                    <a:t>None</a:t>
                  </a:r>
                  <a:endParaRPr lang="en-US"/>
                </a:p>
              </txPr>
              <showLegendKey val="0"/>
              <showVal val="0"/>
              <showCatName val="0"/>
              <showSerName val="0"/>
              <showPercent val="0"/>
              <showBubbleSize val="1"/>
            </dLbl>
            <dLbl>
              <idx val="2"/>
              <spPr>
                <a:ln>
                  <a:prstDash val="solid"/>
                </a:ln>
              </spPr>
              <txPr>
                <a:bodyPr/>
                <a:lstStyle/>
                <a:p>
                  <a:pPr>
                    <a:defRPr sz="1000" b="0" strike="noStrike" spc="-1">
                      <a:latin typeface="Arial"/>
                    </a:defRPr>
                  </a:pPr>
                  <a:r>
                    <a:t>None</a:t>
                  </a:r>
                  <a:endParaRPr lang="en-US"/>
                </a:p>
              </txPr>
              <showLegendKey val="0"/>
              <showVal val="0"/>
              <showCatName val="0"/>
              <showSerName val="0"/>
              <showPercent val="0"/>
              <showBubbleSize val="1"/>
            </dLbl>
            <dLbl>
              <idx val="3"/>
              <spPr>
                <a:ln>
                  <a:prstDash val="solid"/>
                </a:ln>
              </spPr>
              <txPr>
                <a:bodyPr/>
                <a:lstStyle/>
                <a:p>
                  <a:pPr>
                    <a:defRPr sz="1000" b="0" strike="noStrike" spc="-1">
                      <a:latin typeface="Arial"/>
                    </a:defRPr>
                  </a:pPr>
                  <a:r>
                    <a:t>None</a:t>
                  </a:r>
                  <a:endParaRPr lang="en-US"/>
                </a:p>
              </txPr>
              <showLegendKey val="0"/>
              <showVal val="0"/>
              <showCatName val="0"/>
              <showSerName val="0"/>
              <showPercent val="0"/>
              <showBubbleSize val="1"/>
            </dLbl>
            <spPr>
              <a:noFill/>
              <a:ln>
                <a:noFill/>
                <a:prstDash val="solid"/>
              </a:ln>
            </spPr>
            <txPr>
              <a:bodyPr/>
              <a:lstStyle/>
              <a:p>
                <a:pPr>
                  <a:defRPr sz="1000" b="0" strike="noStrike" spc="-1">
                    <a:latin typeface="Arial"/>
                  </a:defRPr>
                </a:pPr>
                <a:r>
                  <a:t>None</a:t>
                </a:r>
                <a:endParaRPr lang="en-US"/>
              </a:p>
            </txPr>
            <showLegendKey val="0"/>
            <showVal val="0"/>
            <showCatName val="0"/>
            <showSerName val="0"/>
            <showPercent val="0"/>
            <showBubbleSize val="1"/>
            <showLeaderLines val="1"/>
          </dLbls>
          <cat>
            <strRef>
              <f>Summary!$B$6:$B$9</f>
              <strCache>
                <ptCount val="4"/>
                <pt idx="0">
                  <v>Pending</v>
                </pt>
                <pt idx="1">
                  <v>In Progress</v>
                </pt>
                <pt idx="2">
                  <v>Completed</v>
                </pt>
                <pt idx="3">
                  <v>Blocked</v>
                </pt>
              </strCache>
            </strRef>
          </cat>
          <val>
            <numRef>
              <f>Summary!$C$6:$C$9</f>
              <numCache>
                <formatCode>General</formatCode>
                <ptCount val="4"/>
                <pt idx="0">
                  <v>0</v>
                </pt>
                <pt idx="1">
                  <v>0</v>
                </pt>
                <pt idx="2">
                  <v>59</v>
                </pt>
                <pt idx="3">
                  <v>0</v>
                </pt>
              </numCache>
            </numRef>
          </val>
        </ser>
        <dLbls>
          <showLegendKey val="0"/>
          <showVal val="0"/>
          <showCatName val="0"/>
          <showSerName val="0"/>
          <showPercent val="0"/>
          <showBubbleSize val="0"/>
          <showLeaderLines val="1"/>
        </dLbls>
        <firstSliceAng val="0"/>
      </pieChart>
    </plotArea>
    <legend>
      <legendPos val="r"/>
      <overlay val="0"/>
      <spPr>
        <a:noFill/>
        <a:ln w="0">
          <a:noFill/>
          <a:prstDash val="solid"/>
        </a:ln>
      </spPr>
      <txPr>
        <a:bodyPr/>
        <a:lstStyle/>
        <a:p>
          <a:pPr>
            <a:defRPr sz="1000" b="0" strike="noStrike" spc="-1">
              <a:solidFill>
                <a:srgbClr val="000000"/>
              </a:solidFill>
              <a:latin typeface="Calibri"/>
            </a:defRPr>
          </a:pPr>
          <a:r>
            <a:t>None</a:t>
          </a:r>
          <a:endParaRPr lang="en-US"/>
        </a:p>
      </txPr>
    </legend>
    <plotVisOnly val="1"/>
    <dispBlanksAs val="gap"/>
  </chart>
  <spPr>
    <a:solidFill>
      <a:srgbClr val="FFFFFF"/>
    </a:solidFill>
    <a:ln w="9360">
      <a:solidFill>
        <a:srgbClr val="D9D9D9"/>
      </a:solidFill>
      <a:prstDash val="solid"/>
      <a:round/>
    </a:ln>
  </spPr>
</chartSpace>
</file>

<file path=xl/charts/chart2.xml><?xml version="1.0" encoding="utf-8"?>
<chartSpace xmlns:a="http://schemas.openxmlformats.org/drawingml/2006/main" xmlns="http://schemas.openxmlformats.org/drawingml/2006/chart">
  <chart>
    <title>
      <tx>
        <rich>
          <a:bodyPr rot="0"/>
          <a:lstStyle/>
          <a:p>
            <a:pPr>
              <a:defRPr sz="1800" b="1" strike="noStrike" spc="-1">
                <a:solidFill>
                  <a:srgbClr val="000000"/>
                </a:solidFill>
                <a:latin typeface="Calibri"/>
              </a:defRPr>
            </a:pPr>
            <a:r>
              <a:rPr lang="en-IN" sz="1800" b="1" strike="noStrike" spc="-1">
                <a:solidFill>
                  <a:srgbClr val="000000"/>
                </a:solidFill>
                <a:latin typeface="Calibri"/>
              </a:rPr>
              <a:t>Tasks by Category</a:t>
            </a:r>
          </a:p>
        </rich>
      </tx>
      <overlay val="0"/>
      <spPr>
        <a:noFill/>
        <a:ln w="0">
          <a:noFill/>
          <a:prstDash val="solid"/>
        </a:ln>
      </spPr>
    </title>
    <plotArea>
      <layout/>
      <barChart>
        <barDir val="bar"/>
        <grouping val="clustered"/>
        <varyColors val="0"/>
        <ser>
          <idx val="0"/>
          <order val="0"/>
          <tx>
            <strRef>
              <f>Summary!$G$5</f>
              <strCache>
                <ptCount val="1"/>
                <pt idx="0">
                  <v>Total Tasks</v>
                </pt>
              </strCache>
            </strRef>
          </tx>
          <spPr>
            <a:solidFill>
              <a:srgbClr val="4F81BD"/>
            </a:solidFill>
            <a:ln w="0">
              <a:noFill/>
              <a:prstDash val="solid"/>
            </a:ln>
          </spPr>
          <invertIfNegative val="0"/>
          <dLbls>
            <spPr>
              <a:noFill/>
              <a:ln>
                <a:noFill/>
                <a:prstDash val="solid"/>
              </a:ln>
            </spPr>
            <txPr>
              <a:bodyPr/>
              <a:lstStyle/>
              <a:p>
                <a:pPr>
                  <a:defRPr sz="1000" b="0" strike="noStrike" spc="-1">
                    <a:latin typeface="Arial"/>
                  </a:defRPr>
                </a:pPr>
                <a:r>
                  <a:t>None</a:t>
                </a:r>
                <a:endParaRPr lang="en-US"/>
              </a:p>
            </txPr>
            <showLegendKey val="0"/>
            <showVal val="0"/>
            <showCatName val="0"/>
            <showSerName val="0"/>
            <showPercent val="0"/>
            <showBubbleSize val="1"/>
            <showLeaderLines val="0"/>
          </dLbls>
          <cat>
            <strRef>
              <f>Summary!$F$6:$F$20</f>
              <strCache>
                <ptCount val="15"/>
                <pt idx="0">
                  <v>Data Layer (EF Core Migration)</v>
                </pt>
                <pt idx="1">
                  <v>Data Layer (EF Core)</v>
                </pt>
                <pt idx="2">
                  <v>Data Layer (Repository)</v>
                </pt>
                <pt idx="3">
                  <v>Data Model</v>
                </pt>
                <pt idx="4">
                  <v>Hardware / Simulator</v>
                </pt>
                <pt idx="5">
                  <v>Protocol (Decoder)</v>
                </pt>
                <pt idx="6">
                  <v>Protocol (Verification)</v>
                </pt>
                <pt idx="7">
                  <v>Protocol (Wire Encoding)</v>
                </pt>
                <pt idx="8">
                  <v>Protocol / Networking (TCP)</v>
                </pt>
                <pt idx="9">
                  <v>QA / Full-Solution Verification</v>
                </pt>
                <pt idx="10">
                  <v>Service Layer</v>
                </pt>
                <pt idx="11">
                  <v>Testing / Infra</v>
                </pt>
                <pt idx="12">
                  <v>Testing / Integration</v>
                </pt>
                <pt idx="13">
                  <v>Web API / Controller</v>
                </pt>
                <pt idx="14">
                  <v>Web UI (Blazor Dashboard)</v>
                </pt>
              </strCache>
            </strRef>
          </cat>
          <val>
            <numRef>
              <f>Summary!$G$6:$G$20</f>
              <numCache>
                <formatCode>General</formatCode>
                <ptCount val="15"/>
                <pt idx="0">
                  <v>1</v>
                </pt>
                <pt idx="1">
                  <v>2</v>
                </pt>
                <pt idx="2">
                  <v>1</v>
                </pt>
                <pt idx="3">
                  <v>4</v>
                </pt>
                <pt idx="4">
                  <v>3</v>
                </pt>
                <pt idx="5">
                  <v>1</v>
                </pt>
                <pt idx="6">
                  <v>1</v>
                </pt>
                <pt idx="7">
                  <v>2</v>
                </pt>
                <pt idx="8">
                  <v>6</v>
                </pt>
                <pt idx="9">
                  <v>4</v>
                </pt>
                <pt idx="10">
                  <v>4</v>
                </pt>
                <pt idx="11">
                  <v>5</v>
                </pt>
                <pt idx="12">
                  <v>1</v>
                </pt>
                <pt idx="13">
                  <v>1</v>
                </pt>
                <pt idx="14">
                  <v>19</v>
                </pt>
              </numCache>
            </numRef>
          </val>
        </ser>
        <dLbls>
          <showLegendKey val="0"/>
          <showVal val="0"/>
          <showCatName val="0"/>
          <showSerName val="0"/>
          <showPercent val="0"/>
          <showBubbleSize val="0"/>
        </dLbls>
        <gapWidth val="150"/>
        <axId val="54562697"/>
        <axId val="52769142"/>
      </barChart>
      <catAx>
        <axId val="54562697"/>
        <scaling>
          <orientation val="minMax"/>
        </scaling>
        <delete val="0"/>
        <axPos val="l"/>
        <title>
          <tx>
            <rich>
              <a:bodyPr rot="-5400000"/>
              <a:lstStyle/>
              <a:p>
                <a:pPr>
                  <a:defRPr sz="1000" b="1" strike="noStrike" spc="-1">
                    <a:solidFill>
                      <a:srgbClr val="000000"/>
                    </a:solidFill>
                    <a:latin typeface="Calibri"/>
                  </a:defRPr>
                </a:pPr>
                <a:r>
                  <a:rPr lang="en-IN" sz="1000" b="1" strike="noStrike" spc="-1">
                    <a:solidFill>
                      <a:srgbClr val="000000"/>
                    </a:solidFill>
                    <a:latin typeface="Calibri"/>
                  </a:rPr>
                  <a:t>Task Count</a:t>
                </a:r>
              </a:p>
            </rich>
          </tx>
          <overlay val="0"/>
          <spPr>
            <a:noFill/>
            <a:ln w="0">
              <a:noFill/>
              <a:prstDash val="solid"/>
            </a:ln>
          </spPr>
        </title>
        <numFmt formatCode="General" sourceLinked="1"/>
        <majorTickMark val="none"/>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None</a:t>
            </a:r>
            <a:endParaRPr lang="en-US"/>
          </a:p>
        </txPr>
        <crossAx val="52769142"/>
        <crosses val="autoZero"/>
        <auto val="1"/>
        <lblAlgn val="ctr"/>
        <lblOffset val="100"/>
        <noMultiLvlLbl val="0"/>
      </catAx>
      <valAx>
        <axId val="52769142"/>
        <scaling>
          <orientation val="minMax"/>
        </scaling>
        <delete val="0"/>
        <axPos val="b"/>
        <majorGridlines>
          <spPr>
            <a:ln w="9360">
              <a:solidFill>
                <a:srgbClr val="878787"/>
              </a:solidFill>
              <a:prstDash val="solid"/>
              <a:round/>
            </a:ln>
          </spPr>
        </majorGridlines>
        <title>
          <tx>
            <rich>
              <a:bodyPr rot="0"/>
              <a:lstStyle/>
              <a:p>
                <a:pPr>
                  <a:defRPr sz="1000" b="1" strike="noStrike" spc="-1">
                    <a:solidFill>
                      <a:srgbClr val="000000"/>
                    </a:solidFill>
                    <a:latin typeface="Calibri"/>
                  </a:defRPr>
                </a:pPr>
                <a:r>
                  <a:rPr lang="en-IN" sz="1000" b="1" strike="noStrike" spc="-1">
                    <a:solidFill>
                      <a:srgbClr val="000000"/>
                    </a:solidFill>
                    <a:latin typeface="Calibri"/>
                  </a:rPr>
                  <a:t>Category</a:t>
                </a:r>
              </a:p>
            </rich>
          </tx>
          <overlay val="0"/>
          <spPr>
            <a:noFill/>
            <a:ln w="0">
              <a:noFill/>
              <a:prstDash val="solid"/>
            </a:ln>
          </spPr>
        </title>
        <numFmt formatCode="General" sourceLinked="1"/>
        <majorTickMark val="none"/>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None</a:t>
            </a:r>
            <a:endParaRPr lang="en-US"/>
          </a:p>
        </txPr>
        <crossAx val="54562697"/>
        <crosses val="autoZero"/>
        <crossBetween val="between"/>
      </valAx>
    </plotArea>
    <legend>
      <legendPos val="r"/>
      <overlay val="0"/>
      <spPr>
        <a:noFill/>
        <a:ln w="0">
          <a:noFill/>
          <a:prstDash val="solid"/>
        </a:ln>
      </spPr>
      <txPr>
        <a:bodyPr/>
        <a:lstStyle/>
        <a:p>
          <a:pPr>
            <a:defRPr sz="1000" b="0" strike="noStrike" spc="-1">
              <a:solidFill>
                <a:srgbClr val="000000"/>
              </a:solidFill>
              <a:latin typeface="Calibri"/>
            </a:defRPr>
          </a:pPr>
          <a:r>
            <a:t>None</a:t>
          </a:r>
          <a:endParaRPr lang="en-US"/>
        </a:p>
      </txPr>
    </legend>
    <plotVisOnly val="1"/>
    <dispBlanksAs val="gap"/>
  </chart>
  <spPr>
    <a:solidFill>
      <a:srgbClr val="FFFFFF"/>
    </a:solidFill>
    <a:ln w="9360">
      <a:solidFill>
        <a:srgbClr val="D9D9D9"/>
      </a:solidFill>
      <a:prstDash val="solid"/>
      <a:round/>
    </a:ln>
  </spPr>
</chartSpace>
</file>

<file path=xl/comments/comment1.xml><?xml version="1.0" encoding="utf-8"?>
<comments xmlns="http://schemas.openxmlformats.org/spreadsheetml/2006/main">
  <authors>
    <author>Unknown Author</author>
  </authors>
  <commentList>
    <comment ref="I1" authorId="0" shapeId="0">
      <text>
        <t>Task-level view — describes what needs to be built, independent of existing code. The Hardware Simulator task has no date yet.</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1</col>
      <colOff>0</colOff>
      <row>10</row>
      <rowOff>131040</rowOff>
    </from>
    <to>
      <col>4</col>
      <colOff>513360</colOff>
      <row>25</row>
      <rowOff>40680</rowOff>
    </to>
    <graphicFrame>
      <nvGraphicFramePr>
        <cNvPr id="1" name="Chart 1"/>
        <cNvGraphicFramePr/>
      </nvGraphicFramePr>
      <xfrm/>
      <a:graphic>
        <a:graphicData uri="http://schemas.openxmlformats.org/drawingml/2006/chart">
          <c:chart r:id="rId1"/>
        </a:graphicData>
      </a:graphic>
    </graphicFrame>
    <clientData/>
  </twoCellAnchor>
  <twoCellAnchor editAs="oneCell">
    <from>
      <col>5</col>
      <colOff>0</colOff>
      <row>21</row>
      <rowOff>131040</rowOff>
    </from>
    <to>
      <col>10</col>
      <colOff>496080</colOff>
      <row>39</row>
      <rowOff>189000</rowOff>
    </to>
    <graphicFrame>
      <nvGraphicFramePr>
        <cNvPr id="2" name="Chart 2"/>
        <cNvGraphicFramePr/>
      </nvGraphicFramePr>
      <xfrm/>
      <a:graphic>
        <a:graphicData uri="http://schemas.openxmlformats.org/drawingml/2006/chart">
          <c:chart r:id="rId2"/>
        </a:graphicData>
      </a:graphic>
    </graphicFrame>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J92"/>
  <sheetViews>
    <sheetView tabSelected="1" zoomScaleNormal="100" workbookViewId="0">
      <pane ySplit="1" topLeftCell="A64" activePane="bottomLeft" state="frozen"/>
      <selection pane="bottomLeft" activeCell="E67" sqref="E67"/>
    </sheetView>
  </sheetViews>
  <sheetFormatPr baseColWidth="8" defaultColWidth="8.7109375" defaultRowHeight="15"/>
  <cols>
    <col width="6" customWidth="1" min="1" max="1"/>
    <col width="26" customWidth="1" min="2" max="2"/>
    <col width="9" customWidth="1" min="3" max="3"/>
    <col width="34" customWidth="1" min="4" max="4"/>
    <col width="62" customWidth="1" min="5" max="5"/>
    <col width="24" customWidth="1" min="6" max="6"/>
    <col width="10" customWidth="1" min="7" max="7"/>
    <col width="17.28515625" bestFit="1" customWidth="1" min="8" max="8"/>
    <col width="12" customWidth="1" min="9" max="9"/>
    <col width="34" customWidth="1" min="10" max="10"/>
  </cols>
  <sheetData>
    <row r="1" ht="27.6" customHeight="1">
      <c r="A1" s="3" t="inlineStr">
        <is>
          <t>S.No</t>
        </is>
      </c>
      <c r="B1" s="3" t="inlineStr">
        <is>
          <t>Project / Plan</t>
        </is>
      </c>
      <c r="C1" s="3" t="inlineStr">
        <is>
          <t>Task No.</t>
        </is>
      </c>
      <c r="D1" s="3" t="inlineStr">
        <is>
          <t>Task Title</t>
        </is>
      </c>
      <c r="E1" s="3" t="inlineStr">
        <is>
          <t>What We Need To Do</t>
        </is>
      </c>
      <c r="F1" s="3" t="inlineStr">
        <is>
          <t>Category</t>
        </is>
      </c>
      <c r="G1" s="3" t="inlineStr">
        <is>
          <t>Priority</t>
        </is>
      </c>
      <c r="H1" s="3" t="inlineStr">
        <is>
          <t>Date</t>
        </is>
      </c>
      <c r="I1" s="3" t="inlineStr">
        <is>
          <t>Status</t>
        </is>
      </c>
      <c r="J1" s="3" t="inlineStr">
        <is>
          <t>Remarks</t>
        </is>
      </c>
    </row>
    <row r="2" ht="39.6" customHeight="1">
      <c r="A2" s="4" t="n">
        <v>1</v>
      </c>
      <c r="B2" s="5" t="inlineStr">
        <is>
          <t>Device/Board/Channel Hierarchy</t>
        </is>
      </c>
      <c r="C2" s="4" t="n">
        <v>1</v>
      </c>
      <c r="D2" s="5" t="inlineStr">
        <is>
          <t>Set up automated testing</t>
        </is>
      </c>
      <c r="E2" s="5" t="inlineStr">
        <is>
          <t>Set up a dedicated test project for the solution, so new logic (starting with the address-encoding utility below) can be verified with automated unit tests instead of manual checks only.</t>
        </is>
      </c>
      <c r="F2" s="5" t="inlineStr">
        <is>
          <t>Testing / Infra</t>
        </is>
      </c>
      <c r="G2" s="4" t="inlineStr">
        <is>
          <t>Medium</t>
        </is>
      </c>
      <c r="H2" s="6" t="n">
        <v>46240</v>
      </c>
      <c r="I2" s="7" t="inlineStr">
        <is>
          <t>Completed</t>
        </is>
      </c>
      <c r="J2" s="5" t="inlineStr">
        <is>
          <t>Completed</t>
        </is>
      </c>
    </row>
    <row r="3" ht="52.9" customHeight="1">
      <c r="A3" s="8" t="n">
        <v>2</v>
      </c>
      <c r="B3" s="9" t="inlineStr">
        <is>
          <t>Device/Board/Channel Hierarchy</t>
        </is>
      </c>
      <c r="C3" s="8" t="n">
        <v>2</v>
      </c>
      <c r="D3" s="9" t="inlineStr">
        <is>
          <t>Build the board+channel address codec</t>
        </is>
      </c>
      <c r="E3" s="9" t="inlineStr">
        <is>
          <t>Design and build a small utility that packs a board number (1-8) and a channel number (1-8) into a single wire-protocol address byte, and unpacks it back again, so hardware commands can address the right board and channel on a device.</t>
        </is>
      </c>
      <c r="F3" s="9" t="inlineStr">
        <is>
          <t>Protocol (Wire Encoding)</t>
        </is>
      </c>
      <c r="G3" s="8" t="inlineStr">
        <is>
          <t>High</t>
        </is>
      </c>
      <c r="H3" s="10" t="n">
        <v>46240</v>
      </c>
      <c r="I3" s="7" t="inlineStr">
        <is>
          <t>Completed</t>
        </is>
      </c>
      <c r="J3" s="9" t="inlineStr">
        <is>
          <t>Completed</t>
        </is>
      </c>
    </row>
    <row r="4" ht="39.6" customHeight="1">
      <c r="A4" s="4" t="n">
        <v>3</v>
      </c>
      <c r="B4" s="5" t="inlineStr">
        <is>
          <t>Device/Board/Channel Hierarchy</t>
        </is>
      </c>
      <c r="C4" s="4" t="n">
        <v>3</v>
      </c>
      <c r="D4" s="5" t="inlineStr">
        <is>
          <t>Introduce the SecondaryBoard concept</t>
        </is>
      </c>
      <c r="E4" s="5" t="inlineStr">
        <is>
          <t>Add a new 'SecondaryBoard' level to the data model, sitting between Device and Channel, so a single device can have multiple boards, each carrying its own set of channels.</t>
        </is>
      </c>
      <c r="F4" s="5" t="inlineStr">
        <is>
          <t>Data Model</t>
        </is>
      </c>
      <c r="G4" s="4" t="inlineStr">
        <is>
          <t>High</t>
        </is>
      </c>
      <c r="H4" s="6" t="n">
        <v>46240</v>
      </c>
      <c r="I4" s="7" t="inlineStr">
        <is>
          <t>Completed</t>
        </is>
      </c>
      <c r="J4" s="5" t="inlineStr">
        <is>
          <t>Completed</t>
        </is>
      </c>
    </row>
    <row r="5" ht="39.6" customHeight="1">
      <c r="A5" s="8" t="n">
        <v>4</v>
      </c>
      <c r="B5" s="9" t="inlineStr">
        <is>
          <t>Device/Board/Channel Hierarchy</t>
        </is>
      </c>
      <c r="C5" s="8" t="n">
        <v>4</v>
      </c>
      <c r="D5" s="9" t="inlineStr">
        <is>
          <t>Rename Circuit to Channel in the data model</t>
        </is>
      </c>
      <c r="E5" s="9" t="inlineStr">
        <is>
          <t>Rename the existing 'Circuit' concept to 'Channel' across the data model, and link every channel to the board it belongs to, using 1-8 numbering instead of the old 0-indexed scheme.</t>
        </is>
      </c>
      <c r="F5" s="9" t="inlineStr">
        <is>
          <t>Data Model</t>
        </is>
      </c>
      <c r="G5" s="8" t="inlineStr">
        <is>
          <t>High</t>
        </is>
      </c>
      <c r="H5" s="10" t="n">
        <v>46240</v>
      </c>
      <c r="I5" s="7" t="inlineStr">
        <is>
          <t>Completed</t>
        </is>
      </c>
      <c r="J5" s="9" t="inlineStr">
        <is>
          <t>Completed</t>
        </is>
      </c>
    </row>
    <row r="6" ht="26.45" customHeight="1">
      <c r="A6" s="4" t="n">
        <v>5</v>
      </c>
      <c r="B6" s="5" t="inlineStr">
        <is>
          <t>Device/Board/Channel Hierarchy</t>
        </is>
      </c>
      <c r="C6" s="4" t="n">
        <v>5</v>
      </c>
      <c r="D6" s="5" t="inlineStr">
        <is>
          <t>Update channel data-transfer objects</t>
        </is>
      </c>
      <c r="E6" s="5" t="inlineStr">
        <is>
          <t>Update the DTOs used to move channel data between application layers so they carry the new board number alongside the channel number.</t>
        </is>
      </c>
      <c r="F6" s="5" t="inlineStr">
        <is>
          <t>Data Model</t>
        </is>
      </c>
      <c r="G6" s="4" t="inlineStr">
        <is>
          <t>Medium</t>
        </is>
      </c>
      <c r="H6" s="6" t="n">
        <v>46240</v>
      </c>
      <c r="I6" s="7" t="inlineStr">
        <is>
          <t>Completed</t>
        </is>
      </c>
      <c r="J6" s="5" t="inlineStr">
        <is>
          <t>Completed</t>
        </is>
      </c>
    </row>
    <row r="7" ht="39.6" customHeight="1">
      <c r="A7" s="8" t="n">
        <v>6</v>
      </c>
      <c r="B7" s="9" t="inlineStr">
        <is>
          <t>Device/Board/Channel Hierarchy</t>
        </is>
      </c>
      <c r="C7" s="8" t="n">
        <v>6</v>
      </c>
      <c r="D7" s="9" t="inlineStr">
        <is>
          <t>Update remaining DTOs and entities</t>
        </is>
      </c>
      <c r="E7" s="9" t="inlineStr">
        <is>
          <t>Update every other DTO and entity that currently identifies a channel by the old numbering scheme, so the whole application consistently uses the new board+channel identifiers.</t>
        </is>
      </c>
      <c r="F7" s="9" t="inlineStr">
        <is>
          <t>Data Model</t>
        </is>
      </c>
      <c r="G7" s="8" t="inlineStr">
        <is>
          <t>Medium</t>
        </is>
      </c>
      <c r="H7" s="10" t="n">
        <v>46240</v>
      </c>
      <c r="I7" s="7" t="inlineStr">
        <is>
          <t>Completed</t>
        </is>
      </c>
      <c r="J7" s="9" t="inlineStr">
        <is>
          <t>Completed</t>
        </is>
      </c>
    </row>
    <row r="8" ht="26.45" customHeight="1">
      <c r="A8" s="4" t="n">
        <v>7</v>
      </c>
      <c r="B8" s="5" t="inlineStr">
        <is>
          <t>Device/Board/Channel Hierarchy</t>
        </is>
      </c>
      <c r="C8" s="4" t="n">
        <v>7</v>
      </c>
      <c r="D8" s="5" t="inlineStr">
        <is>
          <t>Update the database context</t>
        </is>
      </c>
      <c r="E8" s="5" t="inlineStr">
        <is>
          <t>Update the EF Core database context to register the new SecondaryBoards table and rename the Circuits table/set to Channels.</t>
        </is>
      </c>
      <c r="F8" s="5" t="inlineStr">
        <is>
          <t>Data Layer (EF Core)</t>
        </is>
      </c>
      <c r="G8" s="4" t="inlineStr">
        <is>
          <t>Medium</t>
        </is>
      </c>
      <c r="H8" s="6" t="n">
        <v>46240</v>
      </c>
      <c r="I8" s="7" t="inlineStr">
        <is>
          <t>Completed</t>
        </is>
      </c>
      <c r="J8" s="5" t="inlineStr">
        <is>
          <t>Completed</t>
        </is>
      </c>
    </row>
    <row r="9" ht="52.9" customHeight="1">
      <c r="A9" s="8" t="n">
        <v>8</v>
      </c>
      <c r="B9" s="9" t="inlineStr">
        <is>
          <t>Device/Board/Channel Hierarchy</t>
        </is>
      </c>
      <c r="C9" s="8" t="n">
        <v>8</v>
      </c>
      <c r="D9" s="9" t="inlineStr">
        <is>
          <t>Write the database migration and data backfill</t>
        </is>
      </c>
      <c r="E9" s="9" t="inlineStr">
        <is>
          <t>Write a database migration that adds the new board/channel structure and safely migrates existing data into the new 1-8 numbering, with a safety check that stops the migration if any existing device would overflow the new 8-channel cap.</t>
        </is>
      </c>
      <c r="F9" s="9" t="inlineStr">
        <is>
          <t>Data Layer (EF Core Migration)</t>
        </is>
      </c>
      <c r="G9" s="8" t="inlineStr">
        <is>
          <t>High</t>
        </is>
      </c>
      <c r="H9" s="10" t="n">
        <v>46240</v>
      </c>
      <c r="I9" s="7" t="inlineStr">
        <is>
          <t>Completed</t>
        </is>
      </c>
      <c r="J9" s="9" t="inlineStr">
        <is>
          <t>Completed</t>
        </is>
      </c>
    </row>
    <row r="10" ht="39.6" customHeight="1">
      <c r="A10" s="4" t="n">
        <v>9</v>
      </c>
      <c r="B10" s="5" t="inlineStr">
        <is>
          <t>Device/Board/Channel Hierarchy</t>
        </is>
      </c>
      <c r="C10" s="4" t="n">
        <v>9</v>
      </c>
      <c r="D10" s="5" t="inlineStr">
        <is>
          <t>Update the repository layer for board-scoped access</t>
        </is>
      </c>
      <c r="E10" s="5" t="inlineStr">
        <is>
          <t>Update the data-access (repository) layer so lookups are scoped by board as well as by device and channel, and rename it to match the new Channel terminology.</t>
        </is>
      </c>
      <c r="F10" s="5" t="inlineStr">
        <is>
          <t>Data Layer (Repository)</t>
        </is>
      </c>
      <c r="G10" s="4" t="inlineStr">
        <is>
          <t>Medium</t>
        </is>
      </c>
      <c r="H10" s="6" t="n">
        <v>46241</v>
      </c>
      <c r="I10" s="7" t="inlineStr">
        <is>
          <t>Completed</t>
        </is>
      </c>
      <c r="J10" s="5" t="inlineStr">
        <is>
          <t>Completed</t>
        </is>
      </c>
    </row>
    <row r="11" ht="39.6" customHeight="1">
      <c r="A11" s="8" t="n">
        <v>10</v>
      </c>
      <c r="B11" s="9" t="inlineStr">
        <is>
          <t>Device/Board/Channel Hierarchy</t>
        </is>
      </c>
      <c r="C11" s="8" t="n">
        <v>10</v>
      </c>
      <c r="D11" s="9" t="inlineStr">
        <is>
          <t>Update protocol encode/decode logic</t>
        </is>
      </c>
      <c r="E11" s="9" t="inlineStr">
        <is>
          <t>Update the service that builds and parses hardware protocol packets so every command sent or response received uses the new board+channel address encoding.</t>
        </is>
      </c>
      <c r="F11" s="9" t="inlineStr">
        <is>
          <t>Protocol (Decoder)</t>
        </is>
      </c>
      <c r="G11" s="8" t="inlineStr">
        <is>
          <t>High</t>
        </is>
      </c>
      <c r="H11" s="10" t="n">
        <v>46241</v>
      </c>
      <c r="I11" s="7" t="inlineStr">
        <is>
          <t>Completed</t>
        </is>
      </c>
      <c r="J11" s="9" t="inlineStr">
        <is>
          <t>Completed</t>
        </is>
      </c>
    </row>
    <row r="12" ht="39.6" customHeight="1">
      <c r="A12" s="4" t="n">
        <v>11</v>
      </c>
      <c r="B12" s="5" t="inlineStr">
        <is>
          <t>Device/Board/Channel Hierarchy</t>
        </is>
      </c>
      <c r="C12" s="4" t="n">
        <v>11</v>
      </c>
      <c r="D12" s="5" t="inlineStr">
        <is>
          <t>Update the in-memory channel manager</t>
        </is>
      </c>
      <c r="E12" s="5" t="inlineStr">
        <is>
          <t>Update the in-memory registry that tracks live channel connections so it's keyed by device, board, and channel together, supporting multiple boards per device correctly.</t>
        </is>
      </c>
      <c r="F12" s="5" t="inlineStr">
        <is>
          <t>Service Layer</t>
        </is>
      </c>
      <c r="G12" s="4" t="inlineStr">
        <is>
          <t>High</t>
        </is>
      </c>
      <c r="H12" s="6" t="n">
        <v>46241</v>
      </c>
      <c r="I12" s="7" t="inlineStr">
        <is>
          <t>Completed</t>
        </is>
      </c>
      <c r="J12" s="5" t="inlineStr">
        <is>
          <t>Completed</t>
        </is>
      </c>
    </row>
    <row r="13" ht="39.6" customHeight="1">
      <c r="A13" s="8" t="n">
        <v>12</v>
      </c>
      <c r="B13" s="9" t="inlineStr">
        <is>
          <t>Device/Board/Channel Hierarchy</t>
        </is>
      </c>
      <c r="C13" s="8" t="n">
        <v>12</v>
      </c>
      <c r="D13" s="9" t="inlineStr">
        <is>
          <t>Update the per-channel command handler</t>
        </is>
      </c>
      <c r="E13" s="9" t="inlineStr">
        <is>
          <t>Update the component responsible for sending commands to and reading responses from an individual channel, so it operates against the new board+channel model.</t>
        </is>
      </c>
      <c r="F13" s="9" t="inlineStr">
        <is>
          <t>Service Layer</t>
        </is>
      </c>
      <c r="G13" s="8" t="inlineStr">
        <is>
          <t>Medium</t>
        </is>
      </c>
      <c r="H13" s="10" t="n">
        <v>46241</v>
      </c>
      <c r="I13" s="7" t="inlineStr">
        <is>
          <t>Completed</t>
        </is>
      </c>
      <c r="J13" s="9" t="n"/>
    </row>
    <row r="14" ht="39.6" customHeight="1">
      <c r="A14" s="4" t="n">
        <v>13</v>
      </c>
      <c r="B14" s="5" t="inlineStr">
        <is>
          <t>Device/Board/Channel Hierarchy</t>
        </is>
      </c>
      <c r="C14" s="4" t="n">
        <v>13</v>
      </c>
      <c r="D14" s="5" t="inlineStr">
        <is>
          <t>Update the device API controller</t>
        </is>
      </c>
      <c r="E14" s="5" t="inlineStr">
        <is>
          <t>Update the web API controller that exposes device/channel operations so every request and response uses the new board+channel identifiers end to end.</t>
        </is>
      </c>
      <c r="F14" s="5" t="inlineStr">
        <is>
          <t>Web API / Controller</t>
        </is>
      </c>
      <c r="G14" s="4" t="inlineStr">
        <is>
          <t>Medium</t>
        </is>
      </c>
      <c r="H14" s="6" t="n">
        <v>46241</v>
      </c>
      <c r="I14" s="7" t="inlineStr">
        <is>
          <t>Completed</t>
        </is>
      </c>
      <c r="J14" s="5" t="n"/>
    </row>
    <row r="15" ht="39.6" customHeight="1">
      <c r="A15" s="8" t="n">
        <v>14</v>
      </c>
      <c r="B15" s="9" t="inlineStr">
        <is>
          <t>Device/Board/Channel Hierarchy</t>
        </is>
      </c>
      <c r="C15" s="8" t="n">
        <v>14</v>
      </c>
      <c r="D15" s="9" t="inlineStr">
        <is>
          <t>Update the dashboard UI</t>
        </is>
      </c>
      <c r="E15" s="9" t="inlineStr">
        <is>
          <t>Update the web dashboard so channel cards, filters, and view preferences reflect the new board+channel hierarchy, with cards sorted by device, then board, then channel.</t>
        </is>
      </c>
      <c r="F15" s="9" t="inlineStr">
        <is>
          <t>Web UI (Blazor Dashboard)</t>
        </is>
      </c>
      <c r="G15" s="8" t="inlineStr">
        <is>
          <t>Medium</t>
        </is>
      </c>
      <c r="H15" s="10" t="n">
        <v>46241</v>
      </c>
      <c r="I15" s="7" t="inlineStr">
        <is>
          <t>Completed</t>
        </is>
      </c>
      <c r="J15" s="9" t="n"/>
    </row>
    <row r="16" ht="39.6" customHeight="1">
      <c r="A16" s="4" t="n">
        <v>15</v>
      </c>
      <c r="B16" s="5" t="inlineStr">
        <is>
          <t>Device/Board/Channel Hierarchy</t>
        </is>
      </c>
      <c r="C16" s="4" t="n">
        <v>15</v>
      </c>
      <c r="D16" s="5" t="inlineStr">
        <is>
          <t>Confirm the packet analyzer needs no change</t>
        </is>
      </c>
      <c r="E16" s="5" t="inlineStr">
        <is>
          <t>Check whether the packet-analysis components need any updates for the new addressing scheme, since they parse the general packet structure rather than channel identifiers specifically.</t>
        </is>
      </c>
      <c r="F16" s="5" t="inlineStr">
        <is>
          <t>Protocol (Verification)</t>
        </is>
      </c>
      <c r="G16" s="4" t="inlineStr">
        <is>
          <t>Low</t>
        </is>
      </c>
      <c r="H16" s="6" t="n">
        <v>46241</v>
      </c>
      <c r="I16" s="7" t="inlineStr">
        <is>
          <t>Completed</t>
        </is>
      </c>
      <c r="J16" s="5" t="n"/>
    </row>
    <row r="17" ht="39.6" customHeight="1">
      <c r="A17" s="8" t="n">
        <v>16</v>
      </c>
      <c r="B17" s="9" t="inlineStr">
        <is>
          <t>Device/Board/Channel Hierarchy</t>
        </is>
      </c>
      <c r="C17" s="8" t="n">
        <v>16</v>
      </c>
      <c r="D17" s="9" t="inlineStr">
        <is>
          <t>Full solution build and regression pass</t>
        </is>
      </c>
      <c r="E17" s="9" t="inlineStr">
        <is>
          <t>Build the whole solution, apply the migration against a test database, and run a full manual regression pass (device registration, live data, session close) to confirm the new hierarchy works end to end.</t>
        </is>
      </c>
      <c r="F17" s="9" t="inlineStr">
        <is>
          <t>QA / Full-Solution Verification</t>
        </is>
      </c>
      <c r="G17" s="8" t="inlineStr">
        <is>
          <t>High</t>
        </is>
      </c>
      <c r="H17" s="10" t="n">
        <v>46241</v>
      </c>
      <c r="I17" s="7" t="inlineStr">
        <is>
          <t>Completed</t>
        </is>
      </c>
      <c r="J17" s="9" t="n"/>
    </row>
    <row r="18" ht="52.9" customHeight="1">
      <c r="A18" s="11" t="n">
        <v>17</v>
      </c>
      <c r="B18" s="12" t="inlineStr">
        <is>
          <t>TCP Connection Multiplexing</t>
        </is>
      </c>
      <c r="C18" s="11" t="n">
        <v>1</v>
      </c>
      <c r="D18" s="12" t="inlineStr">
        <is>
          <t>Build a shared device connection</t>
        </is>
      </c>
      <c r="E18" s="12" t="inlineStr">
        <is>
          <t>Design and build a component that owns a single TCP connection per device, handling write serialization (so commands to different channels don't collide) and matching each response back to the channel that asked for it, by address byte.</t>
        </is>
      </c>
      <c r="F18" s="12" t="inlineStr">
        <is>
          <t>Protocol / Networking (TCP)</t>
        </is>
      </c>
      <c r="G18" s="11" t="inlineStr">
        <is>
          <t>High</t>
        </is>
      </c>
      <c r="H18" s="13" t="n">
        <v>46244</v>
      </c>
      <c r="I18" s="7" t="inlineStr">
        <is>
          <t>Completed</t>
        </is>
      </c>
      <c r="J18" s="12" t="n"/>
    </row>
    <row r="19" ht="52.9" customHeight="1">
      <c r="A19" s="14" t="n">
        <v>18</v>
      </c>
      <c r="B19" s="15" t="inlineStr">
        <is>
          <t>TCP Connection Multiplexing</t>
        </is>
      </c>
      <c r="C19" s="14" t="n">
        <v>2</v>
      </c>
      <c r="D19" s="15" t="inlineStr">
        <is>
          <t>Multiplex channels over one connection</t>
        </is>
      </c>
      <c r="E19" s="15" t="inlineStr">
        <is>
          <t>Update the channel manager so every channel belonging to the same device shares that one device connection, with a persistent read loop that distributes incoming data to the right channel — replacing the current one-connection-per-channel approach.</t>
        </is>
      </c>
      <c r="F19" s="15" t="inlineStr">
        <is>
          <t>Protocol / Networking (TCP)</t>
        </is>
      </c>
      <c r="G19" s="14" t="inlineStr">
        <is>
          <t>High</t>
        </is>
      </c>
      <c r="H19" s="16" t="n">
        <v>46244</v>
      </c>
      <c r="I19" s="7" t="inlineStr">
        <is>
          <t>Completed</t>
        </is>
      </c>
      <c r="J19" s="15" t="n"/>
    </row>
    <row r="20" ht="39.6" customHeight="1">
      <c r="A20" s="11" t="n">
        <v>19</v>
      </c>
      <c r="B20" s="12" t="inlineStr">
        <is>
          <t>TCP Connection Multiplexing</t>
        </is>
      </c>
      <c r="C20" s="11" t="n">
        <v>3</v>
      </c>
      <c r="D20" s="12" t="inlineStr">
        <is>
          <t>Update the channel handler to use the shared connection</t>
        </is>
      </c>
      <c r="E20" s="12" t="inlineStr">
        <is>
          <t>Update the per-channel command handler so it no longer opens its own socket, and instead sends and receives everything through its device's shared connection.</t>
        </is>
      </c>
      <c r="F20" s="12" t="inlineStr">
        <is>
          <t>Protocol / Networking (TCP)</t>
        </is>
      </c>
      <c r="G20" s="11" t="inlineStr">
        <is>
          <t>High</t>
        </is>
      </c>
      <c r="H20" s="13" t="n">
        <v>46244</v>
      </c>
      <c r="I20" s="7" t="inlineStr">
        <is>
          <t>Completed</t>
        </is>
      </c>
      <c r="J20" s="12" t="n"/>
    </row>
    <row r="21" ht="39.6" customHeight="1">
      <c r="A21" s="14" t="n">
        <v>20</v>
      </c>
      <c r="B21" s="15" t="inlineStr">
        <is>
          <t>TCP Connection Multiplexing</t>
        </is>
      </c>
      <c r="C21" s="14" t="n">
        <v>4</v>
      </c>
      <c r="D21" s="15" t="inlineStr">
        <is>
          <t>Verify multiplexing with an integration test</t>
        </is>
      </c>
      <c r="E21" s="15" t="inlineStr">
        <is>
          <t>Write a test that confirms two channels on the same device correctly share one connection, and that marking one channel disconnected doesn't affect the others incorrectly.</t>
        </is>
      </c>
      <c r="F21" s="15" t="inlineStr">
        <is>
          <t>Testing / Integration</t>
        </is>
      </c>
      <c r="G21" s="14" t="inlineStr">
        <is>
          <t>Medium</t>
        </is>
      </c>
      <c r="H21" s="13" t="n">
        <v>46244</v>
      </c>
      <c r="I21" s="7" t="inlineStr">
        <is>
          <t>Completed</t>
        </is>
      </c>
      <c r="J21" s="15" t="n"/>
    </row>
    <row r="22" ht="66" customHeight="1">
      <c r="A22" s="11" t="n">
        <v>21</v>
      </c>
      <c r="B22" s="12" t="inlineStr">
        <is>
          <t>TCP Connection Multiplexing</t>
        </is>
      </c>
      <c r="C22" s="11" t="n">
        <v>5</v>
      </c>
      <c r="D22" s="12" t="inlineStr">
        <is>
          <t>Full solution verification and hardware validation</t>
        </is>
      </c>
      <c r="E22" s="12" t="inlineStr">
        <is>
          <t>Build and test the whole solution, confirm nothing bypasses the shared connection with a private socket, and validate against real or simulated hardware that multiple channels can register and operate correctly over one shared connection — including that dropping the connection takes all its channels offline together and reconnecting restores their state.</t>
        </is>
      </c>
      <c r="F22" s="12" t="inlineStr">
        <is>
          <t>QA / Full-Solution Verification</t>
        </is>
      </c>
      <c r="G22" s="11" t="inlineStr">
        <is>
          <t>High</t>
        </is>
      </c>
      <c r="H22" s="13" t="n">
        <v>46244</v>
      </c>
      <c r="I22" s="7" t="inlineStr">
        <is>
          <t>Completed</t>
        </is>
      </c>
      <c r="J22" s="12" t="n"/>
    </row>
    <row r="23" ht="52.9" customHeight="1">
      <c r="A23" s="11" t="n">
        <v>22</v>
      </c>
      <c r="B23" s="12" t="inlineStr">
        <is>
          <t>TCP Connection Multiplexing</t>
        </is>
      </c>
      <c r="C23" s="11" t="n">
        <v>6</v>
      </c>
      <c r="D23" s="12" t="inlineStr">
        <is>
          <t>Handle TCP connection state correctly on reconnect</t>
        </is>
      </c>
      <c r="E23" s="12" t="inlineStr">
        <is>
          <t>Fix TCP connection lifecycle handling during reconnects. Detect and close stale/existing connections, update connection state when disconnected, and ensure the UI reflects the disconnected state instead of continuing to show tcp_connected = true.</t>
        </is>
      </c>
      <c r="F23" s="11" t="inlineStr">
        <is>
          <t>Protocol / Networking (TCP)</t>
        </is>
      </c>
      <c r="G23" s="13" t="inlineStr">
        <is>
          <t>High</t>
        </is>
      </c>
      <c r="H23" s="13" t="n">
        <v>46245</v>
      </c>
      <c r="I23" s="7" t="inlineStr">
        <is>
          <t>Completed</t>
        </is>
      </c>
      <c r="J23" s="12" t="inlineStr">
        <is>
          <t xml:space="preserve">New Bug Found </t>
        </is>
      </c>
    </row>
    <row r="24" ht="39.6" customHeight="1">
      <c r="A24" s="11" t="n">
        <v>23</v>
      </c>
      <c r="B24" s="12" t="inlineStr">
        <is>
          <t>TCP Connection Multiplexing</t>
        </is>
      </c>
      <c r="C24" s="11" t="n">
        <v>7</v>
      </c>
      <c r="D24" s="12" t="inlineStr">
        <is>
          <t>Fix callback mismatch for multiple commands</t>
        </is>
      </c>
      <c r="E24" s="12" t="inlineStr">
        <is>
          <t>Fix response/callback matching when multiple commands are processed concurrently over the shared TCP connection. Ensure each response is correctly associated with the correct command and channel.</t>
        </is>
      </c>
      <c r="F24" s="11" t="inlineStr">
        <is>
          <t>Protocol / Networking (TCP)</t>
        </is>
      </c>
      <c r="G24" s="13" t="inlineStr">
        <is>
          <t>High</t>
        </is>
      </c>
      <c r="H24" s="13" t="n">
        <v>46245</v>
      </c>
      <c r="I24" s="7" t="inlineStr">
        <is>
          <t>Completed</t>
        </is>
      </c>
      <c r="J24" s="12" t="inlineStr">
        <is>
          <t xml:space="preserve">New Bug Found </t>
        </is>
      </c>
    </row>
    <row r="25" ht="52.9" customHeight="1">
      <c r="A25" s="17" t="n">
        <v>24</v>
      </c>
      <c r="B25" s="18" t="inlineStr">
        <is>
          <t>Hardware Simulator</t>
        </is>
      </c>
      <c r="C25" s="17" t="n">
        <v>1</v>
      </c>
      <c r="D25" s="18" t="inlineStr">
        <is>
          <t>Update the hardware simulator</t>
        </is>
      </c>
      <c r="E25" s="18" t="inlineStr">
        <is>
          <t>Update the test device simulator so it speaks the new board+channel addressing and registers multiple channels over a single shared connection, matching the updated protocol and connection behavior, then validate it end-to-end against the updated system.</t>
        </is>
      </c>
      <c r="F25" s="18" t="inlineStr">
        <is>
          <t>Hardware / Simulator</t>
        </is>
      </c>
      <c r="G25" s="17" t="inlineStr">
        <is>
          <t>Medium</t>
        </is>
      </c>
      <c r="H25" s="24" t="n">
        <v>46245</v>
      </c>
      <c r="I25" s="7" t="inlineStr">
        <is>
          <t>Completed</t>
        </is>
      </c>
      <c r="J25" s="18" t="inlineStr">
        <is>
          <t>Planned on 10-08-2026, Completed on 10-08-2026</t>
        </is>
      </c>
    </row>
    <row r="26" ht="51" customHeight="1">
      <c r="A26" s="4" t="n">
        <v>25</v>
      </c>
      <c r="B26" s="5" t="inlineStr">
        <is>
          <t>TCP Connection Multiplexing</t>
        </is>
      </c>
      <c r="C26" s="4" t="n">
        <v>8</v>
      </c>
      <c r="D26" s="5" t="inlineStr">
        <is>
          <t>Verify multiplexing at full 64-channel scale</t>
        </is>
      </c>
      <c r="E26" s="5" t="inlineStr">
        <is>
          <t>Run the full bulk-Transfer-then-bulk-Start workflow across all 64 channels on a single device (not just a small pre-configured subset), to confirm the connection-multiplexing fixes hold correctly under full concurrent load end to end.</t>
        </is>
      </c>
      <c r="F26" s="5" t="inlineStr">
        <is>
          <t>QA / Full-Solution Verification</t>
        </is>
      </c>
      <c r="G26" s="4" t="inlineStr">
        <is>
          <t>High</t>
        </is>
      </c>
      <c r="H26" s="6" t="n">
        <v>46245</v>
      </c>
      <c r="I26" s="7" t="inlineStr">
        <is>
          <t>Completed</t>
        </is>
      </c>
      <c r="J26" s="5" t="inlineStr">
        <is>
          <t>User independently re-verified and confirmed working as expected</t>
        </is>
      </c>
    </row>
    <row r="27" ht="63.75" customHeight="1">
      <c r="A27" s="4" t="n">
        <v>26</v>
      </c>
      <c r="B27" s="5" t="inlineStr">
        <is>
          <t>TCP Connection Multiplexing</t>
        </is>
      </c>
      <c r="C27" s="4" t="n">
        <v>9</v>
      </c>
      <c r="D27" s="5" t="inlineStr">
        <is>
          <t>Optimize dashboard rendering for 64-channel scale</t>
        </is>
      </c>
      <c r="E27" s="5" t="inlineStr">
        <is>
          <t>Fix dashboard UI freeze observed under a 64-channel device: row-virtualize the channel grid so only visible cards render, batch per-card render dispatches instead of firing one at a time, and defer loading Manufacturing/Factory/Program detail until a card detail dialog is actually opened.</t>
        </is>
      </c>
      <c r="F27" s="5" t="inlineStr">
        <is>
          <t>Web UI (Blazor Dashboard)</t>
        </is>
      </c>
      <c r="G27" s="4" t="inlineStr">
        <is>
          <t>High</t>
        </is>
      </c>
      <c r="H27" s="6" t="n">
        <v>46245</v>
      </c>
      <c r="I27" s="7" t="inlineStr">
        <is>
          <t>Completed</t>
        </is>
      </c>
      <c r="J27" s="5" t="inlineStr">
        <is>
          <t>Verified live against 64-channel device and HardwareSimulator; build clean, 29/29 tests passing</t>
        </is>
      </c>
    </row>
    <row r="28" ht="229.5" customHeight="1">
      <c r="A28" s="4" t="n">
        <v>27</v>
      </c>
      <c r="B28" s="5" t="inlineStr">
        <is>
          <t>Hardware Simulator</t>
        </is>
      </c>
      <c r="C28" s="4" t="n">
        <v>2</v>
      </c>
      <c r="D28" s="5" t="inlineStr">
        <is>
          <t>Fix chunked program/DBC transfer + add CoreEngine for real program execution</t>
        </is>
      </c>
      <c r="E28" s="5" t="inlineStr">
        <is>
          <t>Fix HardwareSimulator dropping chunked program/DBC data sent from the UI (was logging and discarding every chunk instead of reassembling it), and replace the simulator's random dummy telemetry with a CoreEngine that actually executes the uploaded program's real steps (SET/REG registration, CC/CV/CP/CCCV charge+discharge setpoints, TABLE rows, PAU duration, GOTO/STO), evaluating real Limit cutoffs and sending/storing data tagged per step like real hardware. Live-verified end-to-end via the unauthenticated DeviceController REST API (SendProgram/Start/GetLiveData) against a real program in the dev DB, which caught and fixed 5 additional real bugs: a 2-byte length prefix before the program byte stream, SET/REG's lack of a trailing registrations block, Time-cutoff limits needing int32 ms (not float32) decoding, the simulator never transitioning off RUNNING status after a program finished (causing repeated EndSession log-spam), and post-completion telemetry incorrectly falling back to random noise instead of holding idle/zero. Confirmed DBC transfer already correctly sends only when present and ignores otherwise (existing server code, no change needed there).</t>
        </is>
      </c>
      <c r="F28" s="5" t="inlineStr">
        <is>
          <t>Hardware / Simulator</t>
        </is>
      </c>
      <c r="G28" s="4" t="inlineStr">
        <is>
          <t>High</t>
        </is>
      </c>
      <c r="H28" s="6" t="n">
        <v>46245</v>
      </c>
      <c r="I28" s="7" t="inlineStr">
        <is>
          <t>Completed</t>
        </is>
      </c>
      <c r="J28" s="5" t="inlineStr">
        <is>
          <t>CoreEngine + chunk-reassembly design/plan/impl done and live-verified (session #6); pytest 17/17, dotnet test 29/29 passing; follow-up backlog: T-11 (GetLiveData staleness/latency at 64ch scale), registration-&gt;bitmask mapping stub, DBC signal consumption downstream</t>
        </is>
      </c>
    </row>
    <row r="29" ht="25.5" customHeight="1">
      <c r="A29" s="4" t="n">
        <v>28</v>
      </c>
      <c r="B29" s="5" t="inlineStr">
        <is>
          <t>Live-Test Bugfixes</t>
        </is>
      </c>
      <c r="C29" s="4" t="n">
        <v>1</v>
      </c>
      <c r="D29" s="5" t="inlineStr">
        <is>
          <t>Fix device registration foreign-key crash</t>
        </is>
      </c>
      <c r="E29" s="5" t="inlineStr">
        <is>
          <t>Fixed a crash during device registration caused by a foreign-key constraint violation, so new devices register successfully.</t>
        </is>
      </c>
      <c r="F29" s="5" t="inlineStr">
        <is>
          <t>Data Layer (EF Core)</t>
        </is>
      </c>
      <c r="G29" s="4" t="inlineStr">
        <is>
          <t>High</t>
        </is>
      </c>
      <c r="H29" s="6" t="n">
        <v>46246</v>
      </c>
      <c r="I29" s="7" t="inlineStr">
        <is>
          <t>Completed</t>
        </is>
      </c>
      <c r="J29" s="5" t="inlineStr">
        <is>
          <t>Live-tested and verified</t>
        </is>
      </c>
    </row>
    <row r="30" ht="38.25" customHeight="1">
      <c r="A30" s="4" t="n">
        <v>29</v>
      </c>
      <c r="B30" s="5" t="inlineStr">
        <is>
          <t>Live-Test Bugfixes</t>
        </is>
      </c>
      <c r="C30" s="4" t="n">
        <v>2</v>
      </c>
      <c r="D30" s="5" t="inlineStr">
        <is>
          <t>Fix program-completion button lockout</t>
        </is>
      </c>
      <c r="E30" s="5" t="inlineStr">
        <is>
          <t>Fixed a status mismatch that locked out the Start/Stop buttons after a program finished running, so operators can start a new run without refreshing the page.</t>
        </is>
      </c>
      <c r="F30" s="5" t="inlineStr">
        <is>
          <t>Service Layer</t>
        </is>
      </c>
      <c r="G30" s="4" t="inlineStr">
        <is>
          <t>High</t>
        </is>
      </c>
      <c r="H30" s="6" t="n">
        <v>46246</v>
      </c>
      <c r="I30" s="7" t="inlineStr">
        <is>
          <t>Completed</t>
        </is>
      </c>
      <c r="J30" s="5" t="n"/>
    </row>
    <row r="31" ht="25.5" customHeight="1">
      <c r="A31" s="4" t="n">
        <v>30</v>
      </c>
      <c r="B31" s="5" t="inlineStr">
        <is>
          <t>Live-Test Bugfixes</t>
        </is>
      </c>
      <c r="C31" s="4" t="n">
        <v>3</v>
      </c>
      <c r="D31" s="5" t="inlineStr">
        <is>
          <t>Fix channel-filter tree default state</t>
        </is>
      </c>
      <c r="E31" s="5" t="inlineStr">
        <is>
          <t>Fixed the channel filter tree so it opens in the correct default (collapsed) state instead of an inconsistent one.</t>
        </is>
      </c>
      <c r="F31" s="5" t="inlineStr">
        <is>
          <t>Web UI (Blazor Dashboard)</t>
        </is>
      </c>
      <c r="G31" s="4" t="inlineStr">
        <is>
          <t>Medium</t>
        </is>
      </c>
      <c r="H31" s="6" t="n">
        <v>46246</v>
      </c>
      <c r="I31" s="7" t="inlineStr">
        <is>
          <t>Completed</t>
        </is>
      </c>
      <c r="J31" s="5" t="n"/>
    </row>
    <row r="32" ht="38.25" customHeight="1">
      <c r="A32" s="4" t="n">
        <v>31</v>
      </c>
      <c r="B32" s="5" t="inlineStr">
        <is>
          <t>Live-Test Bugfixes</t>
        </is>
      </c>
      <c r="C32" s="4" t="n">
        <v>4</v>
      </c>
      <c r="D32" s="5" t="inlineStr">
        <is>
          <t>Fix card-settings preview mismatch</t>
        </is>
      </c>
      <c r="E32" s="5" t="inlineStr">
        <is>
          <t>Fixed a mismatch between the card-settings preview and how a dashboard card actually renders, so what the user previews matches the real result.</t>
        </is>
      </c>
      <c r="F32" s="5" t="inlineStr">
        <is>
          <t>Web UI (Blazor Dashboard)</t>
        </is>
      </c>
      <c r="G32" s="4" t="inlineStr">
        <is>
          <t>Medium</t>
        </is>
      </c>
      <c r="H32" s="6" t="n">
        <v>46246</v>
      </c>
      <c r="I32" s="7" t="inlineStr">
        <is>
          <t>Completed</t>
        </is>
      </c>
      <c r="J32" s="5" t="inlineStr">
        <is>
          <t>1 related item deferred pending a design decision</t>
        </is>
      </c>
    </row>
    <row r="33" ht="38.25" customHeight="1">
      <c r="A33" s="4" t="n">
        <v>32</v>
      </c>
      <c r="B33" s="5" t="inlineStr">
        <is>
          <t>Customer Deployment Documentation</t>
        </is>
      </c>
      <c r="C33" s="4" t="n">
        <v>1</v>
      </c>
      <c r="D33" s="5" t="inlineStr">
        <is>
          <t>Write customer-site installation documentation</t>
        </is>
      </c>
      <c r="E33" s="5" t="inlineStr">
        <is>
          <t>Wrote a full documentation set for installing the system at a customer site: IIS and Docker deployment steps, application configuration, and database backup/restore procedures.</t>
        </is>
      </c>
      <c r="F33" s="5" t="inlineStr">
        <is>
          <t>Documentation</t>
        </is>
      </c>
      <c r="G33" s="4" t="inlineStr">
        <is>
          <t>Medium</t>
        </is>
      </c>
      <c r="H33" s="6" t="n">
        <v>46248</v>
      </c>
      <c r="I33" s="7" t="inlineStr">
        <is>
          <t>Completed</t>
        </is>
      </c>
      <c r="J33" s="5" t="n"/>
    </row>
    <row r="34" ht="25.5" customHeight="1">
      <c r="A34" s="4" t="n">
        <v>33</v>
      </c>
      <c r="B34" s="5" t="inlineStr">
        <is>
          <t>UI Bug Fixes &amp; QA Documentation</t>
        </is>
      </c>
      <c r="C34" s="4" t="n">
        <v>1</v>
      </c>
      <c r="D34" s="5" t="inlineStr">
        <is>
          <t>Fix table-upload success shown as error</t>
        </is>
      </c>
      <c r="E34" s="5" t="inlineStr">
        <is>
          <t>Fixed a bug where a successful table file upload was incorrectly shown to the user as a failure message.</t>
        </is>
      </c>
      <c r="F34" s="5" t="inlineStr">
        <is>
          <t>Web UI (Blazor Dashboard)</t>
        </is>
      </c>
      <c r="G34" s="4" t="inlineStr">
        <is>
          <t>Medium</t>
        </is>
      </c>
      <c r="H34" s="6" t="n">
        <v>46251</v>
      </c>
      <c r="I34" s="7" t="inlineStr">
        <is>
          <t>Completed</t>
        </is>
      </c>
      <c r="J34" s="5" t="n"/>
    </row>
    <row r="35" ht="25.5" customHeight="1">
      <c r="A35" s="4" t="n">
        <v>34</v>
      </c>
      <c r="B35" s="5" t="inlineStr">
        <is>
          <t>UI Bug Fixes &amp; QA Documentation</t>
        </is>
      </c>
      <c r="C35" s="4" t="n">
        <v>2</v>
      </c>
      <c r="D35" s="5" t="inlineStr">
        <is>
          <t>Fix Program Editor view-table dialog</t>
        </is>
      </c>
      <c r="E35" s="5" t="inlineStr">
        <is>
          <t>Fixed the view-table dialog in the Program Editor, which was not opening/displaying the uploaded table data.</t>
        </is>
      </c>
      <c r="F35" s="5" t="inlineStr">
        <is>
          <t>Web UI (Blazor Dashboard)</t>
        </is>
      </c>
      <c r="G35" s="4" t="inlineStr">
        <is>
          <t>Medium</t>
        </is>
      </c>
      <c r="H35" s="6" t="n">
        <v>46251</v>
      </c>
      <c r="I35" s="7" t="inlineStr">
        <is>
          <t>Completed</t>
        </is>
      </c>
      <c r="J35" s="5" t="n"/>
    </row>
    <row r="36" ht="25.5" customHeight="1">
      <c r="A36" s="4" t="n">
        <v>35</v>
      </c>
      <c r="B36" s="5" t="inlineStr">
        <is>
          <t>UI Bug Fixes &amp; QA Documentation</t>
        </is>
      </c>
      <c r="C36" s="4" t="n">
        <v>3</v>
      </c>
      <c r="D36" s="5" t="inlineStr">
        <is>
          <t>Update UAT bug tracker remarks</t>
        </is>
      </c>
      <c r="E36" s="5" t="inlineStr">
        <is>
          <t>Reviewed and updated the UAT bug tracker (UATBUG.xlsx) with verification remarks for bug reports SR 78 through SR 138.</t>
        </is>
      </c>
      <c r="F36" s="5" t="inlineStr">
        <is>
          <t>Documentation</t>
        </is>
      </c>
      <c r="G36" s="4" t="inlineStr">
        <is>
          <t>Medium</t>
        </is>
      </c>
      <c r="H36" s="6" t="n">
        <v>46251</v>
      </c>
      <c r="I36" s="7" t="inlineStr">
        <is>
          <t>Completed</t>
        </is>
      </c>
      <c r="J36" s="5" t="n"/>
    </row>
    <row r="37" ht="38.25" customHeight="1">
      <c r="A37" s="4" t="n">
        <v>36</v>
      </c>
      <c r="B37" s="5" t="inlineStr">
        <is>
          <t>UI Bug Fixes &amp; QA Documentation</t>
        </is>
      </c>
      <c r="C37" s="4" t="n">
        <v>4</v>
      </c>
      <c r="D37" s="5" t="inlineStr">
        <is>
          <t>Allow secondary board 0 in device registration</t>
        </is>
      </c>
      <c r="E37" s="5" t="inlineStr">
        <is>
          <t>Fixed device registration so a secondary board numbered 0 can be registered correctly, matching a valid hardware topology that was previously rejected.</t>
        </is>
      </c>
      <c r="F37" s="5" t="inlineStr">
        <is>
          <t>Protocol (Wire Encoding)</t>
        </is>
      </c>
      <c r="G37" s="4" t="inlineStr">
        <is>
          <t>High</t>
        </is>
      </c>
      <c r="H37" s="6" t="n">
        <v>46251</v>
      </c>
      <c r="I37" s="7" t="inlineStr">
        <is>
          <t>Completed</t>
        </is>
      </c>
      <c r="J37" s="5" t="n"/>
    </row>
    <row r="38" ht="38.25" customHeight="1">
      <c r="A38" s="4" t="n">
        <v>37</v>
      </c>
      <c r="B38" s="5" t="inlineStr">
        <is>
          <t>System Documentation &amp; Dashboard Polish</t>
        </is>
      </c>
      <c r="C38" s="4" t="n">
        <v>1</v>
      </c>
      <c r="D38" s="5" t="inlineStr">
        <is>
          <t>Write system flow &amp; block diagram documentation</t>
        </is>
      </c>
      <c r="E38" s="5" t="inlineStr">
        <is>
          <t>Documented the full system lifecycle end-to-end, from device registration through data storage, with block diagrams for future reference.</t>
        </is>
      </c>
      <c r="F38" s="5" t="inlineStr">
        <is>
          <t>Documentation</t>
        </is>
      </c>
      <c r="G38" s="4" t="inlineStr">
        <is>
          <t>Medium</t>
        </is>
      </c>
      <c r="H38" s="6" t="n">
        <v>46252</v>
      </c>
      <c r="I38" s="7" t="inlineStr">
        <is>
          <t>Completed</t>
        </is>
      </c>
      <c r="J38" s="5" t="n"/>
    </row>
    <row r="39" ht="25.5" customHeight="1">
      <c r="A39" s="4" t="n">
        <v>38</v>
      </c>
      <c r="B39" s="5" t="inlineStr">
        <is>
          <t>System Documentation &amp; Dashboard Polish</t>
        </is>
      </c>
      <c r="C39" s="4" t="n">
        <v>2</v>
      </c>
      <c r="D39" s="5" t="inlineStr">
        <is>
          <t>Fix dashboard card row edge spacing</t>
        </is>
      </c>
      <c r="E39" s="5" t="inlineStr">
        <is>
          <t>Fixed inconsistent spacing around the edges of the dashboard's card rows.</t>
        </is>
      </c>
      <c r="F39" s="5" t="inlineStr">
        <is>
          <t>Web UI (Blazor Dashboard)</t>
        </is>
      </c>
      <c r="G39" s="4" t="inlineStr">
        <is>
          <t>Low</t>
        </is>
      </c>
      <c r="H39" s="6" t="n">
        <v>46252</v>
      </c>
      <c r="I39" s="7" t="inlineStr">
        <is>
          <t>Completed</t>
        </is>
      </c>
      <c r="J39" s="5" t="n"/>
    </row>
    <row r="40" ht="25.5" customHeight="1">
      <c r="A40" s="4" t="n">
        <v>39</v>
      </c>
      <c r="B40" s="5" t="inlineStr">
        <is>
          <t>System Documentation &amp; Dashboard Polish</t>
        </is>
      </c>
      <c r="C40" s="4" t="n">
        <v>3</v>
      </c>
      <c r="D40" s="5" t="inlineStr">
        <is>
          <t>Show full Circuit ID in Circuit Records</t>
        </is>
      </c>
      <c r="E40" s="5" t="inlineStr">
        <is>
          <t>Updated Circuit Records so the Circuit ID column and related dialogs show the full device-board-channel identifier instead of a partial one.</t>
        </is>
      </c>
      <c r="F40" s="5" t="inlineStr">
        <is>
          <t>Web UI (Blazor Dashboard)</t>
        </is>
      </c>
      <c r="G40" s="4" t="inlineStr">
        <is>
          <t>Low</t>
        </is>
      </c>
      <c r="H40" s="6" t="n">
        <v>46252</v>
      </c>
      <c r="I40" s="7" t="inlineStr">
        <is>
          <t>Completed</t>
        </is>
      </c>
      <c r="J40" s="5" t="n"/>
    </row>
    <row r="41" ht="25.5" customHeight="1">
      <c r="A41" s="4" t="n">
        <v>40</v>
      </c>
      <c r="B41" s="5" t="inlineStr">
        <is>
          <t>System Documentation &amp; Dashboard Polish</t>
        </is>
      </c>
      <c r="C41" s="4" t="n">
        <v>4</v>
      </c>
      <c r="D41" s="5" t="inlineStr">
        <is>
          <t>Add Online-count chip and Online filter</t>
        </is>
      </c>
      <c r="E41" s="5" t="inlineStr">
        <is>
          <t>Added an Online: N count chip to the dashboard header, plus the ability to filter the grid to only online channels.</t>
        </is>
      </c>
      <c r="F41" s="5" t="inlineStr">
        <is>
          <t>Web UI (Blazor Dashboard)</t>
        </is>
      </c>
      <c r="G41" s="4" t="inlineStr">
        <is>
          <t>Medium</t>
        </is>
      </c>
      <c r="H41" s="6" t="n">
        <v>46252</v>
      </c>
      <c r="I41" s="7" t="inlineStr">
        <is>
          <t>Completed</t>
        </is>
      </c>
      <c r="J41" s="5" t="n"/>
    </row>
    <row r="42" ht="38.25" customHeight="1">
      <c r="A42" s="4" t="n">
        <v>41</v>
      </c>
      <c r="B42" s="5" t="inlineStr">
        <is>
          <t>System Documentation &amp; Dashboard Polish</t>
        </is>
      </c>
      <c r="C42" s="4" t="n">
        <v>5</v>
      </c>
      <c r="D42" s="5" t="inlineStr">
        <is>
          <t>Clean up hardware simulator config and add docs</t>
        </is>
      </c>
      <c r="E42" s="5" t="inlineStr">
        <is>
          <t>Removed dead/unused configuration options from the hardware simulator, corrected outdated protocol documentation, and wrote a README for the simulator tool.</t>
        </is>
      </c>
      <c r="F42" s="5" t="inlineStr">
        <is>
          <t>Hardware / Simulator</t>
        </is>
      </c>
      <c r="G42" s="4" t="inlineStr">
        <is>
          <t>Low</t>
        </is>
      </c>
      <c r="H42" s="6" t="n">
        <v>46252</v>
      </c>
      <c r="I42" s="7" t="inlineStr">
        <is>
          <t>Completed</t>
        </is>
      </c>
      <c r="J42" s="5" t="n"/>
    </row>
    <row r="43" ht="51" customHeight="1">
      <c r="A43" s="4" t="n">
        <v>42</v>
      </c>
      <c r="B43" s="5" t="inlineStr">
        <is>
          <t>System Documentation &amp; Dashboard Polish</t>
        </is>
      </c>
      <c r="C43" s="4" t="n">
        <v>6</v>
      </c>
      <c r="D43" s="5" t="inlineStr">
        <is>
          <t>Harden hardware listener resilience</t>
        </is>
      </c>
      <c r="E43" s="5" t="inlineStr">
        <is>
          <t>Made the hardware TCP/UDP listeners self-recover from failures automatically (retry with backoff) instead of needing a manual app restart, and fixed a scenario where one bad network packet could silently kill a listener.</t>
        </is>
      </c>
      <c r="F43" s="5" t="inlineStr">
        <is>
          <t>Protocol / Networking (TCP)</t>
        </is>
      </c>
      <c r="G43" s="4" t="inlineStr">
        <is>
          <t>High</t>
        </is>
      </c>
      <c r="H43" s="6" t="n">
        <v>46252</v>
      </c>
      <c r="I43" s="7" t="inlineStr">
        <is>
          <t>Completed</t>
        </is>
      </c>
      <c r="J43" s="5" t="inlineStr">
        <is>
          <t>Live hardware verification still pending</t>
        </is>
      </c>
    </row>
    <row r="44" ht="38.25" customHeight="1">
      <c r="A44" s="4" t="n">
        <v>43</v>
      </c>
      <c r="B44" s="5" t="inlineStr">
        <is>
          <t>System Documentation &amp; Dashboard Polish</t>
        </is>
      </c>
      <c r="C44" s="4" t="n">
        <v>7</v>
      </c>
      <c r="D44" s="5" t="inlineStr">
        <is>
          <t>Build alarm &amp; notification system</t>
        </is>
      </c>
      <c r="E44" s="5" t="inlineStr">
        <is>
          <t>Built the navbar alarm bell end-to-end: an alarm log, an alarm engine with cooldown/mute rules, automatic alerts for communication loss/storage failure/channel errors, and a new notification settings page.</t>
        </is>
      </c>
      <c r="F44" s="5" t="inlineStr">
        <is>
          <t>Feature / Notifications</t>
        </is>
      </c>
      <c r="G44" s="4" t="inlineStr">
        <is>
          <t>High</t>
        </is>
      </c>
      <c r="H44" s="6" t="n">
        <v>46252</v>
      </c>
      <c r="I44" s="7" t="inlineStr">
        <is>
          <t>Completed</t>
        </is>
      </c>
      <c r="J44" s="5" t="inlineStr">
        <is>
          <t>Live hardware verification still pending</t>
        </is>
      </c>
    </row>
    <row r="45" ht="38.25" customHeight="1">
      <c r="A45" s="4" t="n">
        <v>44</v>
      </c>
      <c r="B45" s="5" t="inlineStr">
        <is>
          <t>System Documentation &amp; Dashboard Polish</t>
        </is>
      </c>
      <c r="C45" s="4" t="n">
        <v>8</v>
      </c>
      <c r="D45" s="5" t="inlineStr">
        <is>
          <t>Fix data-conflict crash under high channel load</t>
        </is>
      </c>
      <c r="E45" s="5" t="inlineStr">
        <is>
          <t>Fixed a crash that occurred when many channels (64+) reported hardware events at the same time, caused by overlapping database calls; events are now batched safely.</t>
        </is>
      </c>
      <c r="F45" s="5" t="inlineStr">
        <is>
          <t>Service Layer</t>
        </is>
      </c>
      <c r="G45" s="4" t="inlineStr">
        <is>
          <t>High</t>
        </is>
      </c>
      <c r="H45" s="6" t="n">
        <v>46252</v>
      </c>
      <c r="I45" s="7" t="inlineStr">
        <is>
          <t>Completed</t>
        </is>
      </c>
      <c r="J45" s="5" t="n"/>
    </row>
    <row r="46" ht="51" customHeight="1">
      <c r="A46" s="4" t="n">
        <v>45</v>
      </c>
      <c r="B46" s="5" t="inlineStr">
        <is>
          <t>System Documentation &amp; Dashboard Polish</t>
        </is>
      </c>
      <c r="C46" s="4" t="n">
        <v>9</v>
      </c>
      <c r="D46" s="5" t="inlineStr">
        <is>
          <t>Verify concurrency fix and improve dashboard selection</t>
        </is>
      </c>
      <c r="E46" s="5" t="inlineStr">
        <is>
          <t>Live-verified the high-channel-load crash fix with a real logged-in session and confirmed no errors; also fixed the dashboard's channel-selection tree so device, board, and channel each show at their own indent level, and added a filter-aware Select All/Clear option.</t>
        </is>
      </c>
      <c r="F46" s="5" t="inlineStr">
        <is>
          <t>QA / Full-Solution Verification</t>
        </is>
      </c>
      <c r="G46" s="4" t="inlineStr">
        <is>
          <t>Medium</t>
        </is>
      </c>
      <c r="H46" s="6" t="n">
        <v>46252</v>
      </c>
      <c r="I46" s="7" t="inlineStr">
        <is>
          <t>Completed</t>
        </is>
      </c>
      <c r="J46" s="5" t="n"/>
    </row>
    <row r="47" ht="25.5" customHeight="1">
      <c r="A47" s="4" t="n">
        <v>46</v>
      </c>
      <c r="B47" s="5" t="inlineStr">
        <is>
          <t>Test Coverage Expansion</t>
        </is>
      </c>
      <c r="C47" s="4" t="n">
        <v>1</v>
      </c>
      <c r="D47" s="5" t="inlineStr">
        <is>
          <t>Add unit tests for core calculation logic</t>
        </is>
      </c>
      <c r="E47" s="5" t="inlineStr">
        <is>
          <t>Added automated unit tests covering core calculation logic (address encoding, data down-sampling, and dashboard render batching).</t>
        </is>
      </c>
      <c r="F47" s="5" t="inlineStr">
        <is>
          <t>Testing / Infra</t>
        </is>
      </c>
      <c r="G47" s="4" t="inlineStr">
        <is>
          <t>Medium</t>
        </is>
      </c>
      <c r="H47" s="6" t="n">
        <v>46253</v>
      </c>
      <c r="I47" s="7" t="inlineStr">
        <is>
          <t>Completed</t>
        </is>
      </c>
      <c r="J47" s="5" t="n"/>
    </row>
    <row r="48" ht="25.5" customHeight="1">
      <c r="A48" s="4" t="n">
        <v>47</v>
      </c>
      <c r="B48" s="5" t="inlineStr">
        <is>
          <t>Test Coverage Expansion</t>
        </is>
      </c>
      <c r="C48" s="4" t="n">
        <v>2</v>
      </c>
      <c r="D48" s="5" t="inlineStr">
        <is>
          <t>Add unit tests for the data-access layer</t>
        </is>
      </c>
      <c r="E48" s="5" t="inlineStr">
        <is>
          <t>Added automated tests for the data-access (repository) layer, running against a real in-memory database to catch real query issues.</t>
        </is>
      </c>
      <c r="F48" s="5" t="inlineStr">
        <is>
          <t>Testing / Infra</t>
        </is>
      </c>
      <c r="G48" s="4" t="inlineStr">
        <is>
          <t>Medium</t>
        </is>
      </c>
      <c r="H48" s="6" t="n">
        <v>46253</v>
      </c>
      <c r="I48" s="7" t="inlineStr">
        <is>
          <t>Completed</t>
        </is>
      </c>
      <c r="J48" s="5" t="n"/>
    </row>
    <row r="49" ht="25.5" customHeight="1">
      <c r="A49" s="4" t="n">
        <v>48</v>
      </c>
      <c r="B49" s="5" t="inlineStr">
        <is>
          <t>Test Coverage Expansion</t>
        </is>
      </c>
      <c r="C49" s="4" t="n">
        <v>3</v>
      </c>
      <c r="D49" s="5" t="inlineStr">
        <is>
          <t>Add component tests for the channel filter UI</t>
        </is>
      </c>
      <c r="E49" s="5" t="inlineStr">
        <is>
          <t>Added automated component-level tests that render the actual channel-filter UI component, to catch UI regressions early.</t>
        </is>
      </c>
      <c r="F49" s="5" t="inlineStr">
        <is>
          <t>Testing / Infra</t>
        </is>
      </c>
      <c r="G49" s="4" t="inlineStr">
        <is>
          <t>Medium</t>
        </is>
      </c>
      <c r="H49" s="6" t="n">
        <v>46253</v>
      </c>
      <c r="I49" s="7" t="inlineStr">
        <is>
          <t>Completed</t>
        </is>
      </c>
      <c r="J49" s="5" t="n"/>
    </row>
    <row r="50" ht="25.5" customHeight="1">
      <c r="A50" s="4" t="n">
        <v>49</v>
      </c>
      <c r="B50" s="5" t="inlineStr">
        <is>
          <t>Test Coverage Expansion</t>
        </is>
      </c>
      <c r="C50" s="4" t="n">
        <v>4</v>
      </c>
      <c r="D50" s="5" t="inlineStr">
        <is>
          <t>Extract and test dashboard selection logic</t>
        </is>
      </c>
      <c r="E50" s="5" t="inlineStr">
        <is>
          <t>Refactored the dashboard's channel-selection logic into its own testable unit and added a full set of unit tests around it.</t>
        </is>
      </c>
      <c r="F50" s="5" t="inlineStr">
        <is>
          <t>Testing / Infra</t>
        </is>
      </c>
      <c r="G50" s="4" t="inlineStr">
        <is>
          <t>Medium</t>
        </is>
      </c>
      <c r="H50" s="6" t="n">
        <v>46253</v>
      </c>
      <c r="I50" s="7" t="inlineStr">
        <is>
          <t>Completed</t>
        </is>
      </c>
      <c r="J50" s="5" t="n"/>
    </row>
    <row r="51" ht="25.5" customHeight="1">
      <c r="A51" s="4" t="n">
        <v>50</v>
      </c>
      <c r="B51" s="5" t="inlineStr">
        <is>
          <t>Dashboard Card &amp; Dialog Enhancements</t>
        </is>
      </c>
      <c r="C51" s="4" t="n">
        <v>1</v>
      </c>
      <c r="D51" s="5" t="inlineStr">
        <is>
          <t>Fix uneven card spacing on dashboard grid</t>
        </is>
      </c>
      <c r="E51" s="5" t="inlineStr">
        <is>
          <t>Fixed uneven spacing at the bottom of dashboard cards so every card row has consistent, equal spacing on all sides.</t>
        </is>
      </c>
      <c r="F51" s="5" t="inlineStr">
        <is>
          <t>Web UI (Blazor Dashboard)</t>
        </is>
      </c>
      <c r="G51" s="4" t="inlineStr">
        <is>
          <t>Medium</t>
        </is>
      </c>
      <c r="H51" s="6" t="n">
        <v>46253</v>
      </c>
      <c r="I51" s="7" t="inlineStr">
        <is>
          <t>Completed</t>
        </is>
      </c>
      <c r="J51" s="5" t="n"/>
    </row>
    <row r="52" ht="38.25" customHeight="1">
      <c r="A52" s="4" t="n">
        <v>51</v>
      </c>
      <c r="B52" s="5" t="inlineStr">
        <is>
          <t>Dashboard Card &amp; Dialog Enhancements</t>
        </is>
      </c>
      <c r="C52" s="4" t="n">
        <v>2</v>
      </c>
      <c r="D52" s="5" t="inlineStr">
        <is>
          <t>Remove unused Download Details menu option</t>
        </is>
      </c>
      <c r="E52" s="5" t="inlineStr">
        <is>
          <t>Removed the Download Details option from a card's right-click menu, since it didn't actually download anything and wasn't part of the intended workflow.</t>
        </is>
      </c>
      <c r="F52" s="5" t="inlineStr">
        <is>
          <t>Web UI (Blazor Dashboard)</t>
        </is>
      </c>
      <c r="G52" s="4" t="inlineStr">
        <is>
          <t>Low</t>
        </is>
      </c>
      <c r="H52" s="6" t="n">
        <v>46253</v>
      </c>
      <c r="I52" s="7" t="inlineStr">
        <is>
          <t>Completed</t>
        </is>
      </c>
      <c r="J52" s="5" t="n"/>
    </row>
    <row r="53" ht="51" customHeight="1">
      <c r="A53" s="4" t="n">
        <v>52</v>
      </c>
      <c r="B53" s="5" t="inlineStr">
        <is>
          <t>Dashboard Card &amp; Dialog Enhancements</t>
        </is>
      </c>
      <c r="C53" s="4" t="n">
        <v>3</v>
      </c>
      <c r="D53" s="5" t="inlineStr">
        <is>
          <t>Show last-synced date and add fetch-from-device option</t>
        </is>
      </c>
      <c r="E53" s="5" t="inlineStr">
        <is>
          <t>Manufacturing and Factory detail tabs in the card dialog now show data from the database by default along with a last-synced date, and offer a Fetch-from-device button (only when the circuit is idle) to pull the latest live data and refresh both the database and the on-screen details.</t>
        </is>
      </c>
      <c r="F53" s="5" t="inlineStr">
        <is>
          <t>Web UI (Blazor Dashboard)</t>
        </is>
      </c>
      <c r="G53" s="4" t="inlineStr">
        <is>
          <t>High</t>
        </is>
      </c>
      <c r="H53" s="6" t="n">
        <v>46253</v>
      </c>
      <c r="I53" s="7" t="inlineStr">
        <is>
          <t>Completed</t>
        </is>
      </c>
      <c r="J53" s="5" t="inlineStr">
        <is>
          <t>Live-verified with a device simulator; fetch correctly updates the database</t>
        </is>
      </c>
    </row>
    <row r="54" ht="25.5" customHeight="1">
      <c r="A54" s="4" t="n">
        <v>53</v>
      </c>
      <c r="B54" s="5" t="inlineStr">
        <is>
          <t>Dashboard Card &amp; Dialog Enhancements</t>
        </is>
      </c>
      <c r="C54" s="4" t="n">
        <v>4</v>
      </c>
      <c r="D54" s="5" t="inlineStr">
        <is>
          <t>Polish card dialog layout and Battery tab arrangement</t>
        </is>
      </c>
      <c r="E54" s="5" t="inlineStr">
        <is>
          <t>Improved the overall layout and spacing of the card detail dialog, and reorganized the Battery tab to match the cleaner look of the other tabs.</t>
        </is>
      </c>
      <c r="F54" s="5" t="inlineStr">
        <is>
          <t>Web UI (Blazor Dashboard)</t>
        </is>
      </c>
      <c r="G54" s="4" t="inlineStr">
        <is>
          <t>Medium</t>
        </is>
      </c>
      <c r="H54" s="6" t="n">
        <v>46253</v>
      </c>
      <c r="I54" s="7" t="inlineStr">
        <is>
          <t>Completed</t>
        </is>
      </c>
      <c r="J54" s="5" t="n"/>
    </row>
    <row r="55" ht="38.25" customHeight="1">
      <c r="A55" s="4" t="n">
        <v>54</v>
      </c>
      <c r="B55" s="5" t="inlineStr">
        <is>
          <t>Dashboard Card &amp; Dialog Enhancements</t>
        </is>
      </c>
      <c r="C55" s="4" t="n">
        <v>5</v>
      </c>
      <c r="D55" s="5" t="inlineStr">
        <is>
          <t>Fix Battery tab showing one column instead of a grid</t>
        </is>
      </c>
      <c r="E55" s="5" t="inlineStr">
        <is>
          <t>Fixed a display bug where the Battery tab's fields were stacking in a single column with oversized empty space, instead of showing in a proper multi-column grid like the other tabs.</t>
        </is>
      </c>
      <c r="F55" s="5" t="inlineStr">
        <is>
          <t>Web UI (Blazor Dashboard)</t>
        </is>
      </c>
      <c r="G55" s="4" t="inlineStr">
        <is>
          <t>Medium</t>
        </is>
      </c>
      <c r="H55" s="6" t="n">
        <v>46253</v>
      </c>
      <c r="I55" s="7" t="inlineStr">
        <is>
          <t>Completed</t>
        </is>
      </c>
      <c r="J55" s="5" t="inlineStr">
        <is>
          <t>Found during live verification of the item above</t>
        </is>
      </c>
    </row>
    <row r="56" ht="38.25" customHeight="1">
      <c r="A56" s="4" t="n">
        <v>55</v>
      </c>
      <c r="B56" s="5" t="inlineStr">
        <is>
          <t>Dashboard Card &amp; Dialog Enhancements</t>
        </is>
      </c>
      <c r="C56" s="4" t="n">
        <v>6</v>
      </c>
      <c r="D56" s="5" t="inlineStr">
        <is>
          <t>Fix empty field boxes rendering at the wrong size</t>
        </is>
      </c>
      <c r="E56" s="5" t="inlineStr">
        <is>
          <t>Fixed a display bug across the card dialog where a field box with no data showed noticeably shorter than a field box that had data, so all field boxes are now a consistent size regardless of content.</t>
        </is>
      </c>
      <c r="F56" s="5" t="inlineStr">
        <is>
          <t>Web UI (Blazor Dashboard)</t>
        </is>
      </c>
      <c r="G56" s="4" t="inlineStr">
        <is>
          <t>Low</t>
        </is>
      </c>
      <c r="H56" s="6" t="n">
        <v>46253</v>
      </c>
      <c r="I56" s="7" t="inlineStr">
        <is>
          <t>Completed</t>
        </is>
      </c>
      <c r="J56" s="5" t="n"/>
    </row>
    <row r="57" ht="38.25" customHeight="1">
      <c r="A57" s="4" t="n">
        <v>56</v>
      </c>
      <c r="B57" s="5" t="inlineStr">
        <is>
          <t>Dashboard Card &amp; Dialog Enhancements</t>
        </is>
      </c>
      <c r="C57" s="4" t="n">
        <v>7</v>
      </c>
      <c r="D57" s="5" t="inlineStr">
        <is>
          <t>Remove Download button from Manufacturing/Factory tabs</t>
        </is>
      </c>
      <c r="E57" s="5" t="inlineStr">
        <is>
          <t>Removed the Download button from the Manufacturing and Factory detail tabs per feedback that it isn't needed for the intended use case; the Fetch-from-device option remains.</t>
        </is>
      </c>
      <c r="F57" s="5" t="inlineStr">
        <is>
          <t>Web UI (Blazor Dashboard)</t>
        </is>
      </c>
      <c r="G57" s="4" t="inlineStr">
        <is>
          <t>Low</t>
        </is>
      </c>
      <c r="H57" s="6" t="n">
        <v>46253</v>
      </c>
      <c r="I57" s="7" t="inlineStr">
        <is>
          <t>Completed</t>
        </is>
      </c>
      <c r="J57" s="5" t="n"/>
    </row>
    <row r="58" ht="51" customHeight="1">
      <c r="A58" s="4" t="n">
        <v>57</v>
      </c>
      <c r="B58" s="5" t="inlineStr">
        <is>
          <t>Dashboard Card &amp; Dialog Enhancements</t>
        </is>
      </c>
      <c r="C58" s="4" t="n">
        <v>8</v>
      </c>
      <c r="D58" s="5" t="inlineStr">
        <is>
          <t>Add Save button to quick Card Settings dialog</t>
        </is>
      </c>
      <c r="E58" s="5" t="inlineStr">
        <is>
          <t>Added a Save button to the dashboard's quick per-card settings dialog so changes (card size, font size, decimal places, display mode, visible properties) stay temporary and only apply to the dashboard once Save is clicked; closing the dialog without saving discards them.</t>
        </is>
      </c>
      <c r="F58" s="5" t="inlineStr">
        <is>
          <t>Web UI (Blazor Dashboard)</t>
        </is>
      </c>
      <c r="G58" s="4" t="inlineStr">
        <is>
          <t>Medium</t>
        </is>
      </c>
      <c r="H58" s="6" t="n">
        <v>46254</v>
      </c>
      <c r="I58" s="7" t="inlineStr">
        <is>
          <t>Completed</t>
        </is>
      </c>
      <c r="J58" s="5" t="inlineStr">
        <is>
          <t>Live-verified with a device simulator: draft-only edits, Save commits to the dashboard, closing without Save discards the change</t>
        </is>
      </c>
    </row>
    <row r="59" ht="51" customHeight="1">
      <c r="A59" s="4" t="n">
        <v>58</v>
      </c>
      <c r="B59" s="5" t="inlineStr">
        <is>
          <t>Dashboard Card &amp; Dialog Enhancements</t>
        </is>
      </c>
      <c r="C59" s="4" t="n">
        <v>9</v>
      </c>
      <c r="D59" s="5" t="inlineStr">
        <is>
          <t>Fix invisible Voltage/Current lines on Chart-mode cards</t>
        </is>
      </c>
      <c r="E59" s="5" t="inlineStr">
        <is>
          <t>Fixed the Chart display-mode dashboard card so its Voltage/Current lines actually render - they were being drawn with real data but were invisible because the chart colors were never defined anywhere in the stylesheet.</t>
        </is>
      </c>
      <c r="F59" s="5" t="inlineStr">
        <is>
          <t>Web UI (Blazor Dashboard)</t>
        </is>
      </c>
      <c r="G59" s="4" t="inlineStr">
        <is>
          <t>High</t>
        </is>
      </c>
      <c r="H59" s="6" t="n">
        <v>46254</v>
      </c>
      <c r="I59" s="7" t="inlineStr">
        <is>
          <t>Completed</t>
        </is>
      </c>
      <c r="J59" s="5" t="inlineStr">
        <is>
          <t>Live-verified with a device simulator: lines now render and animate with live telemetry</t>
        </is>
      </c>
    </row>
    <row r="60" ht="51" customHeight="1">
      <c r="A60" s="4" t="n">
        <v>59</v>
      </c>
      <c r="B60" s="5" t="inlineStr">
        <is>
          <t>Dashboard Card &amp; Dialog Enhancements</t>
        </is>
      </c>
      <c r="C60" s="4" t="n">
        <v>10</v>
      </c>
      <c r="D60" s="5" t="inlineStr">
        <is>
          <t>Add a readable value scale to the Chart card</t>
        </is>
      </c>
      <c r="E60" s="5" t="inlineStr">
        <is>
          <t>Improved the Chart card so its Voltage and Current lines share one common scale and display their live numeric values, instead of each line being stretched independently to fill the chart in a way that made the two lines impossible to compare or read.</t>
        </is>
      </c>
      <c r="F60" s="5" t="inlineStr">
        <is>
          <t>Web UI (Blazor Dashboard)</t>
        </is>
      </c>
      <c r="G60" s="4" t="inlineStr">
        <is>
          <t>Medium</t>
        </is>
      </c>
      <c r="H60" s="6" t="n">
        <v>46254</v>
      </c>
      <c r="I60" s="7" t="inlineStr">
        <is>
          <t>Completed</t>
        </is>
      </c>
      <c r="J60" s="5" t="inlineStr">
        <is>
          <t>Live-verified with a device simulator at multiple card sizes</t>
        </is>
      </c>
    </row>
    <row r="61" ht="102" customHeight="1">
      <c r="A61" s="4" t="n">
        <v>60</v>
      </c>
      <c r="B61" s="5" t="inlineStr">
        <is>
          <t>Workflow Canvas (Experimental)</t>
        </is>
      </c>
      <c r="C61" s="4" t="inlineStr">
        <is>
          <t>T-47</t>
        </is>
      </c>
      <c r="D61" s="5" t="inlineStr">
        <is>
          <t>Workflow Canvas Playground (n8n-style)</t>
        </is>
      </c>
      <c r="E61" s="5" t="inlineStr">
        <is>
          <t>Built experimental n8n-style workflow canvas (drag/drop device→board→channel nodes, live telemetry, JSON layouts, new Workflows menu). Branch feat/workflow-canvas-experiment - NOT merged to main, keep separate per D14/D15. 6 phases complete (isolation, lane layout + LOD + property picker, selection + hardware actions, board consolidation + animation, toolbar/legend/refresh, home landing + exclusivity). Battery cell redesign (T-48) completed as follow-on. 639 tests, live-verified.</t>
        </is>
      </c>
      <c r="F61" s="5" t="inlineStr">
        <is>
          <t>Web UI (Blazor - Experimental Canvas)</t>
        </is>
      </c>
      <c r="G61" s="4" t="inlineStr">
        <is>
          <t>Medium</t>
        </is>
      </c>
      <c r="H61" s="6" t="n">
        <v>46256</v>
      </c>
      <c r="I61" s="7" t="inlineStr">
        <is>
          <t>Completed</t>
        </is>
      </c>
      <c r="J61" s="5" t="inlineStr">
        <is>
          <t>Experimental branch - do not merge without explicit decision. All 6 phases + battery cell complete, live-verified against simulator.</t>
        </is>
      </c>
    </row>
    <row r="62" ht="89.25" customHeight="1">
      <c r="A62" s="4" t="n">
        <v>61</v>
      </c>
      <c r="B62" s="5" t="inlineStr">
        <is>
          <t>Workflow Canvas (Experimental)</t>
        </is>
      </c>
      <c r="C62" s="4" t="inlineStr">
        <is>
          <t>T-48</t>
        </is>
      </c>
      <c r="D62" s="5" t="inlineStr">
        <is>
          <t>Channel node as battery cell with live data</t>
        </is>
      </c>
      <c r="E62" s="5" t="inlineStr">
        <is>
          <t>Redesigned canvas channel node as login-page battery cell with cap-mounted channel number, dashboard card RenderNormal arrangement inside, segment-march fill animation driven by CircuitStatus (idle shows STOP), translucent fill (20% alpha) so values stay readable. Measured height (chrome 114px, heading 19, row 15, gap 1; all 28 properties = 520px exact). 9 feature commits + spec/plan + 7 follow-up rounds (row spacing tracks selected fields, new channels land beside siblings).</t>
        </is>
      </c>
      <c r="F62" s="5" t="inlineStr">
        <is>
          <t>Web UI (Blazor - Experimental Canvas)</t>
        </is>
      </c>
      <c r="G62" s="4" t="inlineStr">
        <is>
          <t>Medium</t>
        </is>
      </c>
      <c r="H62" s="6" t="n">
        <v>46261</v>
      </c>
      <c r="I62" s="7" t="inlineStr">
        <is>
          <t>Completed</t>
        </is>
      </c>
      <c r="J62" s="5" t="inlineStr">
        <is>
          <t>Follow-on to T-47, same experimental branch. Live-verified at 1-device/8-channel bench.</t>
        </is>
      </c>
    </row>
    <row r="63" ht="76.5" customHeight="1">
      <c r="A63" s="4" t="n">
        <v>62</v>
      </c>
      <c r="B63" s="5" t="inlineStr">
        <is>
          <t>Feature Flags &amp; Tab Navigation</t>
        </is>
      </c>
      <c r="C63" s="4" t="inlineStr">
        <is>
          <t>T-49</t>
        </is>
      </c>
      <c r="D63" s="5" t="inlineStr">
        <is>
          <t>Dashboard default, Workflows optional navigation</t>
        </is>
      </c>
      <c r="E63" s="5" t="inlineStr">
        <is>
          <t>Restored DashboardView.razor (Home tab) as default landing view after login. Workflow Canvas remains accessible as optional nav entry (not forced on sign-in). Fixed WorkflowDefaultTab priority: LegacyDashboard=true now wins even when WorkflowCanvas=true. Updated appsettings.Development.json (LegacyDashboard: true, WorkflowCanvas: true). Updated unit tests to match new priority logic.</t>
        </is>
      </c>
      <c r="F63" s="5" t="inlineStr">
        <is>
          <t>Web UI (Blazor Feature Flags)</t>
        </is>
      </c>
      <c r="G63" s="4" t="inlineStr">
        <is>
          <t>High</t>
        </is>
      </c>
      <c r="H63" s="6" t="n">
        <v>46266</v>
      </c>
      <c r="I63" s="7" t="inlineStr">
        <is>
          <t>Completed</t>
        </is>
      </c>
      <c r="J63" s="5" t="inlineStr">
        <is>
          <t>Merged feat/workflow-canvas-experiment to main with --no-ff. Zero impact on existing home/dashboard flow verified before merge.</t>
        </is>
      </c>
    </row>
    <row r="64" ht="114.75" customHeight="1">
      <c r="A64" s="4" t="n">
        <v>63</v>
      </c>
      <c r="B64" s="5" t="inlineStr">
        <is>
          <t>Test Coverage - Protocol</t>
        </is>
      </c>
      <c r="C64" s="4" t="inlineStr">
        <is>
          <t>T-50</t>
        </is>
      </c>
      <c r="D64" s="5" t="inlineStr">
        <is>
          <t>DecoderService.ConvertProgramIntoBytesPackets test coverage</t>
        </is>
      </c>
      <c r="E64" s="5" t="inlineStr">
        <is>
          <t>Created comprehensive unit test suite (25 tests) for program-to-byte-packet encoding: per-operator bodies (STO/SET/REG/GOTO/PAU/CC_CHG etc), time-to-milliseconds conversion, float encoding, limit/action/registration order, frame structure (AA 55 header, 4-byte BE cumulative offset, 55 AA footer). Found 4 implementation behaviors worth documenting: ExpandProducerSteps renumbers caller steps in-place, RStandards sync fallback to default mask 24577, unresolved GOTO falls through to StepNumber+1, nominal count not on wire.</t>
        </is>
      </c>
      <c r="F64" s="5" t="inlineStr">
        <is>
          <t>Testing / Protocol Wire Encoding</t>
        </is>
      </c>
      <c r="G64" s="4" t="inlineStr">
        <is>
          <t>Medium</t>
        </is>
      </c>
      <c r="H64" s="6" t="n">
        <v>46267</v>
      </c>
      <c r="I64" s="7" t="inlineStr">
        <is>
          <t>Completed</t>
        </is>
      </c>
      <c r="J64" s="5" t="inlineStr">
        <is>
          <t>664 tests passing (from 639). All operators verified correct. Documented 4 gotchas for future refactoring.</t>
        </is>
      </c>
    </row>
    <row r="65" ht="89.25" customHeight="1">
      <c r="A65" s="4" t="n">
        <v>64</v>
      </c>
      <c r="B65" s="5" t="inlineStr">
        <is>
          <t>Workflow Canvas (Experimental)</t>
        </is>
      </c>
      <c r="C65" s="4" t="inlineStr">
        <is>
          <t>T-47</t>
        </is>
      </c>
      <c r="D65" s="5" t="inlineStr">
        <is>
          <t>Workflow Canvas Playground (n8n-style)</t>
        </is>
      </c>
      <c r="E65" s="5" t="inlineStr">
        <is>
          <t>Built experimental n8n-style workflow canvas (drag/drop device-&gt;board-&gt;channel nodes, live telemetry, JSON layouts, new Workflows menu). Branch feat/workflow-canvas-experiment - NOT merged to main, keep separate per D14/D15. 6 phases complete (isolation, lane layout + LOD + property picker, selection + hardware actions, board consolidation + animation, toolbar/legend/refresh, home landing + exclusivity). Battery cell redesign (T-48) completed as follow-on. 639 tests, live-verified.</t>
        </is>
      </c>
      <c r="F65" s="5" t="inlineStr">
        <is>
          <t>Web UI (Blazor - Experimental Canvas)</t>
        </is>
      </c>
      <c r="G65" s="4" t="inlineStr">
        <is>
          <t>Medium</t>
        </is>
      </c>
      <c r="H65" s="6" t="n">
        <v>46256</v>
      </c>
      <c r="I65" s="7" t="inlineStr">
        <is>
          <t>Completed</t>
        </is>
      </c>
      <c r="J65" s="5" t="inlineStr">
        <is>
          <t>Experimental branch - do not merge without explicit decision. All 6 phases + battery cell complete, live-verified against simulator.</t>
        </is>
      </c>
    </row>
    <row r="66" ht="89.25" customHeight="1">
      <c r="A66" s="4" t="n">
        <v>65</v>
      </c>
      <c r="B66" s="5" t="inlineStr">
        <is>
          <t>Workflow Canvas (Experimental)</t>
        </is>
      </c>
      <c r="C66" s="4" t="inlineStr">
        <is>
          <t>T-48</t>
        </is>
      </c>
      <c r="D66" s="5" t="inlineStr">
        <is>
          <t>Channel node as battery cell with live data</t>
        </is>
      </c>
      <c r="E66" s="5" t="inlineStr">
        <is>
          <t>Redesigned canvas channel node as login-page battery cell with cap-mounted channel number, dashboard card RenderNormal arrangement inside, segment-march fill animation driven by CircuitStatus (idle shows STOP), translucent fill (20% alpha) so values stay readable. Measured height (chrome 114px, heading 19, row 15, gap 1; all 28 properties = 520px exact). 9 feature commits + spec/plan + 7 follow-up rounds (row spacing tracks selected fields, new channels land beside siblings).</t>
        </is>
      </c>
      <c r="F66" s="5" t="inlineStr">
        <is>
          <t>Web UI (Blazor - Experimental Canvas)</t>
        </is>
      </c>
      <c r="G66" s="4" t="inlineStr">
        <is>
          <t>Medium</t>
        </is>
      </c>
      <c r="H66" s="6" t="n">
        <v>46261</v>
      </c>
      <c r="I66" s="7" t="inlineStr">
        <is>
          <t>Completed</t>
        </is>
      </c>
      <c r="J66" s="5" t="inlineStr">
        <is>
          <t>Follow-on to T-47, same experimental branch. Live-verified at 1-device/8-channel bench.</t>
        </is>
      </c>
    </row>
    <row r="67" ht="76.5" customHeight="1">
      <c r="A67" s="4" t="n">
        <v>66</v>
      </c>
      <c r="B67" s="5" t="inlineStr">
        <is>
          <t>Feature Flags &amp; Tab Navigation</t>
        </is>
      </c>
      <c r="C67" s="4" t="inlineStr">
        <is>
          <t>T-49</t>
        </is>
      </c>
      <c r="D67" s="5" t="inlineStr">
        <is>
          <t>Dashboard default, Workflows optional navigation</t>
        </is>
      </c>
      <c r="E67" s="5" t="inlineStr">
        <is>
          <t>Restored DashboardView.razor (Home tab) as default landing view after login. Workflow Canvas remains accessible as optional nav entry (not forced on sign-in). Fixed WorkflowDefaultTab priority: LegacyDashboard=true now wins even when WorkflowCanvas=true. Updated appsettings.Development.json (LegacyDashboard: true, WorkflowCanvas: true). Updated unit tests to match new priority logic.</t>
        </is>
      </c>
      <c r="F67" s="5" t="inlineStr">
        <is>
          <t>Web UI (Blazor Feature Flags)</t>
        </is>
      </c>
      <c r="G67" s="4" t="inlineStr">
        <is>
          <t>High</t>
        </is>
      </c>
      <c r="H67" s="6" t="n">
        <v>46266</v>
      </c>
      <c r="I67" s="7" t="inlineStr">
        <is>
          <t>Completed</t>
        </is>
      </c>
      <c r="J67" s="5" t="inlineStr">
        <is>
          <t>Merged feat/workflow-canvas-experiment to main with --no-ff. Zero impact on existing home/dashboard flow verified before merge.</t>
        </is>
      </c>
    </row>
    <row r="68" ht="114.75" customHeight="1">
      <c r="A68" s="4" t="n">
        <v>67</v>
      </c>
      <c r="B68" s="5" t="inlineStr">
        <is>
          <t>Test Coverage - Protocol</t>
        </is>
      </c>
      <c r="C68" s="4" t="inlineStr">
        <is>
          <t>T-50</t>
        </is>
      </c>
      <c r="D68" s="5" t="inlineStr">
        <is>
          <t>DecoderService.ConvertProgramIntoBytesPackets test coverage</t>
        </is>
      </c>
      <c r="E68" s="5" t="inlineStr">
        <is>
          <t>Created comprehensive unit test suite (25 tests) for program-to-byte-packet encoding: per-operator bodies (STO/SET/REG/GOTO/PAU/CC_CHG etc), time-to-milliseconds conversion, float encoding, limit/action/registration order, frame structure (AA 55 header, 4-byte BE cumulative offset, 55 AA footer). Found 4 implementation behaviors worth documenting: ExpandProducerSteps renumbers caller steps in-place, RStandards sync fallback to default mask 24577, unresolved GOTO falls through to StepNumber+1, nominal count not on wire.</t>
        </is>
      </c>
      <c r="F68" s="5" t="inlineStr">
        <is>
          <t>Testing / Protocol Wire Encoding</t>
        </is>
      </c>
      <c r="G68" s="4" t="inlineStr">
        <is>
          <t>Medium</t>
        </is>
      </c>
      <c r="H68" s="6" t="n">
        <v>46267</v>
      </c>
      <c r="I68" s="7" t="inlineStr">
        <is>
          <t>Completed</t>
        </is>
      </c>
      <c r="J68" s="5" t="inlineStr">
        <is>
          <t>664 tests passing (from 639). All operators verified correct. Documented 4 gotchas for future refactoring.</t>
        </is>
      </c>
    </row>
    <row r="69" ht="79.2" customHeight="1">
      <c r="A69" s="4" t="n">
        <v>68</v>
      </c>
      <c r="B69" s="5" t="inlineStr">
        <is>
          <t>Onboarding &amp; Handover</t>
        </is>
      </c>
      <c r="C69" s="4" t="inlineStr">
        <is>
          <t>T-51</t>
        </is>
      </c>
      <c r="D69" s="5" t="inlineStr">
        <is>
          <t>Project walkthrough and codebase orientation (KT from Deepak Chougale)</t>
        </is>
      </c>
      <c r="E69" s="5" t="inlineStr">
        <is>
          <t>Received a knowledge-transfer session from Deepak Chougale covering the overall WebAppME architecture (Device -&gt; SecondaryBoard -&gt; Channel hierarchy, TCP connection multiplexing, and the protocol encode/decode flow) and the current in-progress feature branches, to prepare for taking over active development on the project.</t>
        </is>
      </c>
      <c r="F69" s="5" t="inlineStr">
        <is>
          <t>Onboarding / KT</t>
        </is>
      </c>
      <c r="G69" s="4" t="inlineStr">
        <is>
          <t>Medium</t>
        </is>
      </c>
      <c r="H69" s="6" t="n">
        <v>46272</v>
      </c>
      <c r="I69" s="7" t="inlineStr">
        <is>
          <t>Completed</t>
        </is>
      </c>
      <c r="J69" s="5" t="inlineStr">
        <is>
          <t>Week 1 (7-11 Sep): KT and handover process from Deepak Chougale</t>
        </is>
      </c>
    </row>
    <row r="70" ht="79.2" customHeight="1">
      <c r="A70" s="4" t="n">
        <v>69</v>
      </c>
      <c r="B70" s="5" t="inlineStr">
        <is>
          <t>Onboarding &amp; Handover</t>
        </is>
      </c>
      <c r="C70" s="4" t="inlineStr">
        <is>
          <t>T-52</t>
        </is>
      </c>
      <c r="D70" s="5" t="inlineStr">
        <is>
          <t>KT on battery-parameter feature (Program Editor Sec 12.3 tokens)</t>
        </is>
      </c>
      <c r="E70" s="5" t="inlineStr">
        <is>
          <t>Walked through Deepak Chougale's in-progress battery-parameter work: the Sec 12.3 bare INTERN[] token support (CNom/NoCell/UGas/UMax/UNom/CutOff/INom/ICrank/ChargeF/EDensity) added to the Program Editor, the confirmed protocol limitation blocking Ramp/Resistance support, and the BatteryUnitResolver/ProgramBuilder SET-variable substitution path those tokens reuse.</t>
        </is>
      </c>
      <c r="F70" s="5" t="inlineStr">
        <is>
          <t>Protocol (Wire Encoding)</t>
        </is>
      </c>
      <c r="G70" s="4" t="inlineStr">
        <is>
          <t>Medium</t>
        </is>
      </c>
      <c r="H70" s="6" t="n">
        <v>46273</v>
      </c>
      <c r="I70" s="7" t="inlineStr">
        <is>
          <t>Completed</t>
        </is>
      </c>
      <c r="J70" s="5" t="n"/>
    </row>
    <row r="71" ht="59.4" customHeight="1">
      <c r="A71" s="4" t="n">
        <v>70</v>
      </c>
      <c r="B71" s="5" t="inlineStr">
        <is>
          <t>Onboarding &amp; Handover</t>
        </is>
      </c>
      <c r="C71" s="4" t="inlineStr">
        <is>
          <t>T-53</t>
        </is>
      </c>
      <c r="D71" s="5" t="inlineStr">
        <is>
          <t>KT on Program Editor and protocol decode/encode internals</t>
        </is>
      </c>
      <c r="E71" s="5" t="inlineStr">
        <is>
          <t>Continued handover with a walkthrough of DecoderService's packet encode/decode dispatch, ProgramBuilder's step-processing pipeline, and how the Program Editor step grid maps onto the wire-protocol operator/cutoff/registration model.</t>
        </is>
      </c>
      <c r="F71" s="5" t="inlineStr">
        <is>
          <t>Protocol (Decoder)</t>
        </is>
      </c>
      <c r="G71" s="4" t="inlineStr">
        <is>
          <t>Medium</t>
        </is>
      </c>
      <c r="H71" s="6" t="n">
        <v>46274</v>
      </c>
      <c r="I71" s="7" t="inlineStr">
        <is>
          <t>Completed</t>
        </is>
      </c>
      <c r="J71" s="5" t="n"/>
    </row>
    <row r="72" ht="59.4" customHeight="1">
      <c r="A72" s="4" t="n">
        <v>71</v>
      </c>
      <c r="B72" s="5" t="inlineStr">
        <is>
          <t>Onboarding &amp; Handover</t>
        </is>
      </c>
      <c r="C72" s="4" t="inlineStr">
        <is>
          <t>T-54</t>
        </is>
      </c>
      <c r="D72" s="5" t="inlineStr">
        <is>
          <t>KT on documentation set and traceability structure</t>
        </is>
      </c>
      <c r="E72" s="5" t="inlineStr">
        <is>
          <t>Reviewed the newly added CMMI Level 3 documentation suite (ADD, DDD, DBD, ICD, SRS, RTM, PMP, CMP, QAP, RMP, VVP, Calibration) and the CHANGELOG/INDEX structure with Deepak Chougale, to understand how the project's documentation and requirement traceability are organized.</t>
        </is>
      </c>
      <c r="F72" s="5" t="inlineStr">
        <is>
          <t>Documentation</t>
        </is>
      </c>
      <c r="G72" s="4" t="inlineStr">
        <is>
          <t>Medium</t>
        </is>
      </c>
      <c r="H72" s="6" t="n">
        <v>46275</v>
      </c>
      <c r="I72" s="7" t="inlineStr">
        <is>
          <t>Completed</t>
        </is>
      </c>
      <c r="J72" s="5" t="n"/>
    </row>
    <row r="73" ht="118.8" customHeight="1">
      <c r="A73" s="4" t="n">
        <v>72</v>
      </c>
      <c r="B73" s="5" t="inlineStr">
        <is>
          <t>Onboarding &amp; Handover</t>
        </is>
      </c>
      <c r="C73" s="4" t="inlineStr">
        <is>
          <t>T-55</t>
        </is>
      </c>
      <c r="D73" s="5" t="inlineStr">
        <is>
          <t>Handover wrap-up: audited and corrected the CMMI documentation suite against actual code</t>
        </is>
      </c>
      <c r="E73" s="5" t="inlineStr">
        <is>
          <t>Closed out the KT/handover week by independently auditing the new CMMI documentation suite against the real codebase and fixing what didn't match: removed 2 dead links in INDEX.md, corrected a false 'PROTOCOL.md updated' claim, fixed a wrong filename reference, rewrote DBD.md from the real entity/migration model (added the missing SecondaryBoards/AlarmLog/ExportRecords/WorkflowDbContext tables and removed a duplicated section), and swept 8 docs for stale CircuitManager/CircuitCommandHandler naming. Also refreshed ARCHITECTURE.md and CODEBASE_MAP.md to current.</t>
        </is>
      </c>
      <c r="F73" s="5" t="inlineStr">
        <is>
          <t>Documentation</t>
        </is>
      </c>
      <c r="G73" s="4" t="inlineStr">
        <is>
          <t>Medium</t>
        </is>
      </c>
      <c r="H73" s="6" t="n">
        <v>46276</v>
      </c>
      <c r="I73" s="7" t="inlineStr">
        <is>
          <t>Completed</t>
        </is>
      </c>
      <c r="J73" s="5" t="inlineStr">
        <is>
          <t>Docs-only; build 0 errors, 771/771 tests unchanged. Handover from Deepak Chougale complete.</t>
        </is>
      </c>
    </row>
    <row r="74" ht="59.4" customHeight="1">
      <c r="A74" s="4" t="n">
        <v>73</v>
      </c>
      <c r="B74" s="5" t="inlineStr">
        <is>
          <t>Program Step Control</t>
        </is>
      </c>
      <c r="C74" s="4" t="inlineStr">
        <is>
          <t>T-56</t>
        </is>
      </c>
      <c r="D74" s="5" t="inlineStr">
        <is>
          <t>Ramp-up and planning for the CC_ReChg operator</t>
        </is>
      </c>
      <c r="E74" s="5" t="inlineStr">
        <is>
          <t>First week working independently after handover: reviewed open protocol/backlog items and planned the CC_ReChg step operator addition (the requested opcode 0x14 conflicts with the existing PRODUCER operator, so it was rescoped to opcode 21 / 0x15).</t>
        </is>
      </c>
      <c r="F74" s="5" t="inlineStr">
        <is>
          <t>Protocol (Wire Encoding)</t>
        </is>
      </c>
      <c r="G74" s="4" t="inlineStr">
        <is>
          <t>Low</t>
        </is>
      </c>
      <c r="H74" s="6" t="n">
        <v>46279</v>
      </c>
      <c r="I74" s="7" t="inlineStr">
        <is>
          <t>Completed</t>
        </is>
      </c>
      <c r="J74" s="5" t="n"/>
    </row>
    <row r="75" ht="118.8" customHeight="1">
      <c r="A75" s="4" t="n">
        <v>74</v>
      </c>
      <c r="B75" s="5" t="inlineStr">
        <is>
          <t>Program Step Control</t>
        </is>
      </c>
      <c r="C75" s="4" t="inlineStr">
        <is>
          <t>T-57</t>
        </is>
      </c>
      <c r="D75" s="5" t="inlineStr">
        <is>
          <t>Add CC_ReChg step operator (opcode 21 / 0x15)</t>
        </is>
      </c>
      <c r="E75" s="5" t="inlineStr">
        <is>
          <t>Registered a new CC_ReChg step operator, encoded and processed identically to the existing CC_Chg operator: OperatorConstants.cs (const, Operators list, ToName, LimitActionAllowed, NominalConfig with the same battery-relative unit shape), PacketAnalyzer/PacketAnalyzerNoReverse decode helpers, docs/PROTOCOL.md, and both independent Python mirrors in HardwareSimulator (program_decoder.py, simulator.py). DecoderService's encoding dispatch needed no change since unspecialized opcodes already fall through to the same generic path CC_CHG uses.</t>
        </is>
      </c>
      <c r="F75" s="5" t="inlineStr">
        <is>
          <t>Protocol (Wire Encoding)</t>
        </is>
      </c>
      <c r="G75" s="4" t="inlineStr">
        <is>
          <t>Medium</t>
        </is>
      </c>
      <c r="H75" s="6" t="n">
        <v>46280</v>
      </c>
      <c r="I75" s="7" t="inlineStr">
        <is>
          <t>Completed</t>
        </is>
      </c>
      <c r="J75" s="5" t="inlineStr">
        <is>
          <t>775/775 .NET tests (+4), 18/18 Python tests (+1); merged via PR #33</t>
        </is>
      </c>
    </row>
    <row r="76" ht="138.6" customHeight="1">
      <c r="A76" s="4" t="n">
        <v>75</v>
      </c>
      <c r="B76" s="5" t="inlineStr">
        <is>
          <t>Program Step Control</t>
        </is>
      </c>
      <c r="C76" s="4" t="inlineStr">
        <is>
          <t>T-58</t>
        </is>
      </c>
      <c r="D76" s="5" t="inlineStr">
        <is>
          <t>Add Jump to Program Step (BM Program v3.2, Q10)</t>
        </is>
      </c>
      <c r="E76" s="5" t="inlineStr">
        <is>
          <t>Added a 'Jump to Step...' action to the Dashboard's per-circuit right-click context menu, enabled only while a program is running, sending the hardware's Q10 query (0x0A) to abandon the current step and resume from an operator-supplied step number without modifying the resident program. Added ProgramDataQuery.JumpToStep, a JumpToStepReason enum, a DecoderService STATUS+REASON decode case, a shared JumpStepValidator used by both the new JumpToStepDialog and ChannelCommandHandler.JumpToStepAsync, and PROTOCOL.md Sec 6.6 documentation. Planned first via EnterPlanMode/ExitPlanMode before writing code.</t>
        </is>
      </c>
      <c r="F76" s="5" t="inlineStr">
        <is>
          <t>Protocol / Networking (TCP)</t>
        </is>
      </c>
      <c r="G76" s="4" t="inlineStr">
        <is>
          <t>High</t>
        </is>
      </c>
      <c r="H76" s="6" t="n">
        <v>46281</v>
      </c>
      <c r="I76" s="7" t="inlineStr">
        <is>
          <t>Completed</t>
        </is>
      </c>
      <c r="J76" s="5" t="inlineStr">
        <is>
          <t>793/793 tests (+18); unit-verified only, HardwareSimulator support not yet implemented</t>
        </is>
      </c>
    </row>
    <row r="77" ht="118.8" customHeight="1">
      <c r="A77" s="4" t="n">
        <v>76</v>
      </c>
      <c r="B77" s="5" t="inlineStr">
        <is>
          <t>Program Step Control</t>
        </is>
      </c>
      <c r="C77" s="4" t="inlineStr">
        <is>
          <t>T-59</t>
        </is>
      </c>
      <c r="D77" s="5" t="inlineStr">
        <is>
          <t>Implement Jump to Program Step (Q10) support in HardwareSimulator</t>
        </is>
      </c>
      <c r="E77" s="5" t="inlineStr">
        <is>
          <t>Live testing found Jump to Step silently did nothing against the simulator: an unhandled 0x0A query fell through to the generic response footer, which always replied STATUS=Success without moving the simulated step pointer (a false-positive, not a missing response). Added CoreEngine.jump_to_step (moves the step index, resets step-elapsed-time and the TABLE-row cursor, resets a loop's counter only when landing on its tracked BEG step) and a dedicated 0x0A branch plus a device.paused gate in simulator.py.</t>
        </is>
      </c>
      <c r="F77" s="5" t="inlineStr">
        <is>
          <t>Hardware / Simulator</t>
        </is>
      </c>
      <c r="G77" s="4" t="inlineStr">
        <is>
          <t>High</t>
        </is>
      </c>
      <c r="H77" s="6" t="n">
        <v>46282</v>
      </c>
      <c r="I77" s="7" t="inlineStr">
        <is>
          <t>Completed</t>
        </is>
      </c>
      <c r="J77" s="5" t="inlineStr">
        <is>
          <t>26/26 Python tests passing (+8); .NET side unchanged at 793/793</t>
        </is>
      </c>
    </row>
    <row r="78" ht="158.4" customHeight="1">
      <c r="A78" s="4" t="n">
        <v>77</v>
      </c>
      <c r="B78" s="5" t="inlineStr">
        <is>
          <t>Program Step Control</t>
        </is>
      </c>
      <c r="C78" s="4" t="inlineStr">
        <is>
          <t>T-60</t>
        </is>
      </c>
      <c r="D78" s="5" t="inlineStr">
        <is>
          <t>Add Live Step Update (Q9, opcode 0x09) - dynamic program step execution</t>
        </is>
      </c>
      <c r="E78" s="5" t="inlineStr">
        <is>
          <t>Let an operator amend a running step's parameters (nominal values, cutoffs, registrations) from the dashboard while a program is running or paused, without persisting the change - the amendment is forwarded to hardware and discarded per the protocol spec. Added DecoderService.BuildLiveStepUpdatePacket (sharing the wire-format encoder with the whole-program encoder) and STATUS+REASON decode handling, ChannelCommandHandler.LiveStepUpdateAsync gated on Running/Paused with Primary-side REASON checks, a LiveStepUpdateDialog reusing the existing StepRow grid in a new session-only lock-operator mode, and matching CoreEngine.apply_live_step_update support in HardwareSimulator.</t>
        </is>
      </c>
      <c r="F78" s="5" t="inlineStr">
        <is>
          <t>Web UI (Blazor Dashboard)</t>
        </is>
      </c>
      <c r="G78" s="4" t="inlineStr">
        <is>
          <t>High</t>
        </is>
      </c>
      <c r="H78" s="6" t="n">
        <v>46283</v>
      </c>
      <c r="I78" s="7" t="inlineStr">
        <is>
          <t>Completed</t>
        </is>
      </c>
      <c r="J78" s="5" t="n"/>
    </row>
    <row r="79" ht="59.4" customHeight="1">
      <c r="A79" s="4" t="n">
        <v>78</v>
      </c>
      <c r="B79" s="5" t="inlineStr">
        <is>
          <t>Program Step Control</t>
        </is>
      </c>
      <c r="C79" s="4" t="inlineStr">
        <is>
          <t>T-61</t>
        </is>
      </c>
      <c r="D79" s="5" t="inlineStr">
        <is>
          <t>Merge Jump to Step (Q10) and Live Step Update (Q9) into feature/program-step-control</t>
        </is>
      </c>
      <c r="E79" s="5" t="inlineStr">
        <is>
          <t>Merged feature/jump-to-program-step and feature/live-step-update-q9 into feature/program-step-control, resolving conflicts across DashboardView.razor, HardwareSimulator/simulator.py, CircuitEnums.cs, DecoderService.cs, PROTOCOL.md, and bm_program_v3.2.md.</t>
        </is>
      </c>
      <c r="F79" s="5" t="inlineStr">
        <is>
          <t>QA / Full-Solution Verification</t>
        </is>
      </c>
      <c r="G79" s="4" t="inlineStr">
        <is>
          <t>Medium</t>
        </is>
      </c>
      <c r="H79" s="6" t="n">
        <v>46286</v>
      </c>
      <c r="I79" s="7" t="inlineStr">
        <is>
          <t>Completed</t>
        </is>
      </c>
      <c r="J79" s="5" t="n"/>
    </row>
    <row r="80" ht="99" customHeight="1">
      <c r="A80" s="4" t="n">
        <v>79</v>
      </c>
      <c r="B80" s="5" t="inlineStr">
        <is>
          <t>Program Step Control</t>
        </is>
      </c>
      <c r="C80" s="4" t="inlineStr">
        <is>
          <t>T-62</t>
        </is>
      </c>
      <c r="D80" s="5" t="inlineStr">
        <is>
          <t>Fix Jump to Step popup reopening itself for the last-targeted circuit</t>
        </is>
      </c>
      <c r="E80" s="5" t="inlineStr">
        <is>
          <t>Root-caused a bug where closing the Jump to Step dialog via its X button left the Dashboard's own open-state field stuck true, so the next unrelated re-render (selecting a circuit, submitting a Live Step Update, a telemetry tick) popped the dialog back open for whatever circuit it last targeted. Fixed by wiring Open/OpenChanged explicitly to forward to IsOpenChanged, matching the pattern already used correctly by LiveStepUpdateDialog and TransferDialog.</t>
        </is>
      </c>
      <c r="F80" s="5" t="inlineStr">
        <is>
          <t>Web UI (Blazor Dashboard)</t>
        </is>
      </c>
      <c r="G80" s="4" t="inlineStr">
        <is>
          <t>High</t>
        </is>
      </c>
      <c r="H80" s="6" t="n">
        <v>46286</v>
      </c>
      <c r="I80" s="7" t="inlineStr">
        <is>
          <t>Completed</t>
        </is>
      </c>
      <c r="J80" s="5" t="n"/>
    </row>
    <row r="81" ht="99" customHeight="1">
      <c r="A81" s="4" t="n">
        <v>80</v>
      </c>
      <c r="B81" s="5" t="inlineStr">
        <is>
          <t>Program Step Control</t>
        </is>
      </c>
      <c r="C81" s="4" t="inlineStr">
        <is>
          <t>T-63</t>
        </is>
      </c>
      <c r="D81" s="5" t="inlineStr">
        <is>
          <t>Fix Q9 dialog resolving steps only from ExpandedProgramSteps</t>
        </is>
      </c>
      <c r="E81" s="5" t="inlineStr">
        <is>
          <t>ExpandedProgramSteps is only populated when a program has PRODUCER sub-steps, so the Live Step Update dialog and handler always reported 'no step is currently executing' for an ordinary program. Added LiveStepUpdateValidator.ResolveFullProgramSteps to centralize the same fallback convention already used elsewhere in the app, with regression tests, and widened the dialog to DialogSize.Full so the step-row grid renders without a horizontal scrollbar.</t>
        </is>
      </c>
      <c r="F81" s="5" t="inlineStr">
        <is>
          <t>Web UI (Blazor Dashboard)</t>
        </is>
      </c>
      <c r="G81" s="4" t="inlineStr">
        <is>
          <t>High</t>
        </is>
      </c>
      <c r="H81" s="6" t="n">
        <v>46286</v>
      </c>
      <c r="I81" s="7" t="inlineStr">
        <is>
          <t>Completed</t>
        </is>
      </c>
      <c r="J81" s="5" t="n"/>
    </row>
    <row r="82" ht="99" customHeight="1">
      <c r="A82" s="4" t="n">
        <v>81</v>
      </c>
      <c r="B82" s="5" t="inlineStr">
        <is>
          <t>Program Step Control</t>
        </is>
      </c>
      <c r="C82" s="4" t="inlineStr">
        <is>
          <t>T-64</t>
        </is>
      </c>
      <c r="D82" s="5" t="inlineStr">
        <is>
          <t>Fix Q9 dialog re-populating with the last submitted amendment instead of the original step</t>
        </is>
      </c>
      <c r="E82" s="5" t="inlineStr">
        <is>
          <t>Live Step Update never writes back to the resident program by design, so reopening 'Edit Current Step' for the same still-executing step kept reverting a just-submitted change back to the pre-edit value. Added a cached LastLiveStepUpdate on ChannelCommandHandler (cleared on StartProgram), preferred by LiveStepUpdateDialog over the resident step whenever it matches the currently executing step number, with regression tests.</t>
        </is>
      </c>
      <c r="F82" s="5" t="inlineStr">
        <is>
          <t>Web UI (Blazor Dashboard)</t>
        </is>
      </c>
      <c r="G82" s="4" t="inlineStr">
        <is>
          <t>Medium</t>
        </is>
      </c>
      <c r="H82" s="6" t="n">
        <v>46286</v>
      </c>
      <c r="I82" s="7" t="inlineStr">
        <is>
          <t>Completed</t>
        </is>
      </c>
      <c r="J82" s="5" t="n"/>
    </row>
    <row r="83" ht="178.2" customHeight="1">
      <c r="A83" s="4" t="n">
        <v>82</v>
      </c>
      <c r="B83" s="5" t="inlineStr">
        <is>
          <t>LOCKAh / PERCAh Operator</t>
        </is>
      </c>
      <c r="C83" s="4" t="inlineStr">
        <is>
          <t>T-65</t>
        </is>
      </c>
      <c r="D83" s="5" t="inlineStr">
        <is>
          <t>Design and begin implementation of LOCKAh/PERCAh program operators</t>
        </is>
      </c>
      <c r="E83" s="5" t="inlineStr">
        <is>
          <t>Designed the WebAppME-side implementation of the LOCKAh operator (stores the current Ah counter x a multiplier as a 100% reference) and the PERCAh cutoff condition (ends a regulating step at a percentage of that reference). Found the two upstream design docs assumed operator byte 0x14 was free, but it is already PRODUCER in WebAppME's own operator space (0x15 is CC_ReChg, added 2026-09-15) - resolved as LOCKAh = 0x16, confirmed with the user, and documented normatively so the byte value can't drift. Began implementation across OperatorConstants, ProgramEditor/ProgramViewer/OperatorBadge, ValidationHelper, DecoderService, PacketAnalyzer(s), ProgramBuilder, the HardwareSimulator's Python decoder/simulator, and PROTOCOL.md, on a new feature/lockah-percah-operator branch.</t>
        </is>
      </c>
      <c r="F83" s="5" t="inlineStr">
        <is>
          <t>Protocol (Wire Encoding)</t>
        </is>
      </c>
      <c r="G83" s="4" t="inlineStr">
        <is>
          <t>High</t>
        </is>
      </c>
      <c r="H83" s="6" t="n">
        <v>46286</v>
      </c>
      <c r="I83" s="7" t="inlineStr">
        <is>
          <t>In Progress</t>
        </is>
      </c>
      <c r="J83" s="5" t="inlineStr">
        <is>
          <t>Firmware-side opcode move (0x14 -&gt; 0x16) flagged for the firmware owner to route; implementation continuing past this date</t>
        </is>
      </c>
    </row>
    <row r="84" ht="178.2" customHeight="1">
      <c r="A84" s="4" t="n">
        <v>83</v>
      </c>
      <c r="B84" s="5" t="inlineStr">
        <is>
          <t>LOCKAh / PERCAh Operator</t>
        </is>
      </c>
      <c r="C84" s="4" t="inlineStr">
        <is>
          <t>T-66</t>
        </is>
      </c>
      <c r="D84" s="5" t="inlineStr">
        <is>
          <t>Opcode analysis and finalize new operator byte (0x16)</t>
        </is>
      </c>
      <c r="E84" s="5" t="inlineStr">
        <is>
          <t>Analyzed the LOCKAh operator-byte conflict in WebAppME's operator space: both upstream design docs assumed opcode 0x14 was free, but it is already PRODUCER (0x15 is CC_ReChg, added 2026-09-15). Confirmed and finalized LOCKAh = 0x16 as the new operator byte, with PERCAh unchanged at 0x3E (cutoff condition, no conflict). Continued implementation across OperatorConstants, ProgramEditor/ProgramViewer/OperatorBadge, ValidationHelper, DecoderService, PacketAnalyzer(s), ProgramBuilder, and the HardwareSimulator's Python mirrors on feature/lockah-percah-operator.</t>
        </is>
      </c>
      <c r="F84" s="5" t="inlineStr">
        <is>
          <t>Protocol (Wire Encoding)</t>
        </is>
      </c>
      <c r="G84" s="4" t="inlineStr">
        <is>
          <t>High</t>
        </is>
      </c>
      <c r="H84" s="6" t="n">
        <v>46287</v>
      </c>
      <c r="I84" s="7" t="inlineStr">
        <is>
          <t>In Progress</t>
        </is>
      </c>
      <c r="J84" s="5" t="inlineStr">
        <is>
          <t>Continuation of T-65; opcode conflict analysis and the 0x16 resolution are documented in docs/superpowers/specs/2026-09-21-lockah-percah-webapp-design.md Sec 1. Firmware-side opcode move (0x14 -&gt; 0x16) remains flagged for the firmware owner to route.</t>
        </is>
      </c>
    </row>
    <row r="85" ht="178.2" customHeight="1">
      <c r="A85" s="4" t="n">
        <v>85</v>
      </c>
      <c r="B85" s="5" t="inlineStr">
        <is>
          <t>LOCKAh / PERCAh Operator</t>
        </is>
      </c>
      <c r="C85" s="4" t="inlineStr">
        <is>
          <t>T-67</t>
        </is>
      </c>
      <c r="D85" s="5" t="inlineStr">
        <is>
          <t>Implement, verify and commit LOCKAh (0x16) operator and PERCAh (0x3E) cutoff condition</t>
        </is>
      </c>
      <c r="E85" s="5" t="inlineStr">
        <is>
          <t>Finished and committed the WebAppME implementation begun in T-65/T-66: LOCKAh operator (GOTO-shaped encoding, nominal validated &gt;= 1.0), PERCAh cutoff condition (limit validated &gt; 0, Limit-field autocomplete generalized to complete a truncated unit prefix), and SET "Ah ="/"Wh =" now emitting real wire-level global-parameter reset blocks (0x26/0x2A) instead of being purely in-app named variables. Fixed two issues found while live-testing in the running app: the pre-existing SET duplicate-variable check was rejecting a legitimate reuse of "Ah"/"Wh" across multiple SET steps (exempted both names across ValidationHelper, ProgramEditor and ProgramViewer), and SET's registration was hardcoded to STANDARD instead of inheriting the nearest preceding SET step's choice (same rule REG already used, now shared via one FindNearestPrecedingSet helper). Verified against a live-captured 7-step program from the running app - every packet length and byte value matches the reference program exactly (opcode 0x16, cutoff 0x3E, SET global-param blocks, inherited registration mask). Committed on a new feature/lockah-percah-webapp branch (off the shared tip of feature/program-step-control and feature/lockah-percah-operator).</t>
        </is>
      </c>
      <c r="F85" s="5" t="inlineStr">
        <is>
          <t>Protocol (Wire Encoding)</t>
        </is>
      </c>
      <c r="G85" s="4" t="inlineStr">
        <is>
          <t>High</t>
        </is>
      </c>
      <c r="H85" s="6" t="n">
        <v>46288</v>
      </c>
      <c r="I85" s="7" t="inlineStr">
        <is>
          <t>Completed</t>
        </is>
      </c>
      <c r="J85" s="5" t="inlineStr">
        <is>
          <t>dotnet build 0 errors, 860/860 .NET tests, 37/37 Python tests. Not yet merged into feature/program-step-control or main - still needs a PR. Firmware-side opcode move (0x14 -&gt; 0x16) remains flagged for the firmware owner to route.</t>
        </is>
      </c>
    </row>
    <row r="86" ht="178.2" customHeight="1">
      <c r="A86" s="4" t="n">
        <v>86</v>
      </c>
      <c r="B86" s="5" t="inlineStr">
        <is>
          <t>Web UI (Blazor Dashboard)</t>
        </is>
      </c>
      <c r="C86" s="4" t="inlineStr">
        <is>
          <t>T-68</t>
        </is>
      </c>
      <c r="D86" s="5" t="inlineStr">
        <is>
          <t>Fix incorrect tooltip on the Program List edit button</t>
        </is>
      </c>
      <c r="E86" s="5" t="inlineStr">
        <is>
          <t>The pencil/edit button on the Program List page opens the full program editor, not a rename dialog, but its tooltip read "Rename". Relabeled to "Edit Program Details" to match the actual action. Found and fixed while working on the LOCKAh/PERCAh branch; committed separately since it's unrelated to that feature.</t>
        </is>
      </c>
      <c r="F86" s="5" t="inlineStr">
        <is>
          <t>Web UI (Blazor Dashboard)</t>
        </is>
      </c>
      <c r="G86" s="4" t="inlineStr">
        <is>
          <t>Low</t>
        </is>
      </c>
      <c r="H86" s="6" t="n">
        <v>46288</v>
      </c>
      <c r="I86" s="7" t="inlineStr">
        <is>
          <t>Completed</t>
        </is>
      </c>
      <c r="J86" s="5" t="n"/>
    </row>
    <row r="87" ht="178.2" customHeight="1">
      <c r="A87" s="4" t="n">
        <v>87</v>
      </c>
      <c r="B87" s="5" t="inlineStr">
        <is>
          <t>Protocol (Wire Encoding)</t>
        </is>
      </c>
      <c r="C87" s="4" t="inlineStr">
        <is>
          <t>T-69</t>
        </is>
      </c>
      <c r="D87" s="5" t="inlineStr">
        <is>
          <t>Clarify CRC byte-order convention in DecoderService</t>
        </is>
      </c>
      <c r="E87" s="5" t="inlineStr">
        <is>
          <t>Added an inline comment to DecoderService.AppendCrc (the low/high CRC byte append) noting the byte-order convention difference between BTS (low byte then high byte) and ME (high byte then low byte). No functional change - documentation only, to prevent future confusion when comparing wire captures between the two systems.</t>
        </is>
      </c>
      <c r="F87" s="5" t="inlineStr">
        <is>
          <t>Protocol (Decoder)</t>
        </is>
      </c>
      <c r="G87" s="4" t="inlineStr">
        <is>
          <t>Low</t>
        </is>
      </c>
      <c r="H87" s="6" t="n">
        <v>46293</v>
      </c>
      <c r="I87" s="7" t="inlineStr">
        <is>
          <t>Completed</t>
        </is>
      </c>
      <c r="J87" s="5" t="n"/>
    </row>
    <row r="88" ht="178.2" customHeight="1">
      <c r="A88" s="4" t="n">
        <v>88</v>
      </c>
      <c r="B88" s="5" t="inlineStr">
        <is>
          <t>Program Editor - Battery-Relative Units</t>
        </is>
      </c>
      <c r="C88" s="4" t="inlineStr">
        <is>
          <t>T-70</t>
        </is>
      </c>
      <c r="D88" s="5" t="inlineStr">
        <is>
          <t>VN/CNom battery-relative units + download battery gate</t>
        </is>
      </c>
      <c r="E88" s="5" t="inlineStr">
        <is>
          <t>Renamed the voltage-per-cell unit token VNC -&gt; VN throughout (editor validation, encoder, BatteryUnitResolver, tests). Added coefficient CNom (e.g. "0.2 CNom") support in Limit and Registration fields, resolving to Step Capacity (AhStep/0x3B/0x29) - distinct from the pre-existing bare CNom token, which resolves to Accumulated Capacity (0x3A/0x26). Gated ProgramEditor's hex-packet Download behind a battery-selection dialog when a program uses any battery-relative token (ACNx/VN/CNom), mirroring TransferDialog's existing requirement; previously threw BatteryUnitResolutionException uncaught. Fixed a real bug found live: OperatorConstants.AutoSpace (on-blur formatter) silently truncated "0.8 CNom" to "0.8 C" because CNom was not registered as a unit, so its fuzzy suffix-matcher fell back to "C" (Temperature) as the longest prefix match - fixed by registering CNom as a full unit token.</t>
        </is>
      </c>
      <c r="F88" s="5" t="inlineStr">
        <is>
          <t>Program Editor / Protocol Wire Encoding</t>
        </is>
      </c>
      <c r="G88" s="4" t="inlineStr">
        <is>
          <t>Medium</t>
        </is>
      </c>
      <c r="H88" s="6" t="n">
        <v>46289</v>
      </c>
      <c r="I88" s="7" t="inlineStr">
        <is>
          <t>Completed</t>
        </is>
      </c>
      <c r="J88" s="5" t="inlineStr">
        <is>
          <t>808/808 tests passing (+33 this session). Live-verified end to end by the user: authored a 7-step program mixing VN/ACN5/CNom against a real 100Ah/1-cell battery, exported hex packets, and every byte (cutoff condition, registration type, scaled value, offset chain) matched the expected formulas by hand. Branch feature/VNC_ACN_CNom, commit d2e4551. Merged into Bug_Enhancement_Sept_2026 2026-09-30 (git merge --no-ff).</t>
        </is>
      </c>
    </row>
    <row r="89" ht="178.2" customHeight="1">
      <c r="A89" s="4" t="n">
        <v>89</v>
      </c>
      <c r="B89" s="5" t="inlineStr">
        <is>
          <t>Program Editor - Battery-Relative Units</t>
        </is>
      </c>
      <c r="C89" s="4" t="inlineStr">
        <is>
          <t>T-71</t>
        </is>
      </c>
      <c r="D89" s="5" t="inlineStr">
        <is>
          <t>Fix ACN limit field silently truncating unsupported numbered units</t>
        </is>
      </c>
      <c r="E89" s="5" t="inlineStr">
        <is>
          <t>User reported: typing "1 ACN7" into a Program Editor Limit field would not "stick" - it silently reverted after Enter/blur, while Nominal/Registration fields seemed fine. Root caused to OperatorConstants.AutoSpace's fuzzy suffix-matcher (FindNearestUnit): ACN7 is not a real ACNx divisor (only bare/1/2/4/5/10/20 exist per BatteryUnitResolver.HourDivisors), so the matcher found registered "ACN" as a prefix of "ACN7" and silently rewrote the value to "1 ACN", discarding the "7" with no error shown - same bug class as the T-53 CNom-&gt;C fix, recurring because ACN7 cannot simply be added to the valid-units list. Fixed by refusing the fuzzy match entirely when the typed suffix contains any digit, so an unsupported numbered unit is left exactly as typed and ValidateLimit/ValidateRegistration flag it red instead of silently substituting a different value. Live-verified in the running app (Chrome DevTools MCP): the Limit chip now shows "1 ACN7" in red instead of quietly becoming "1 ACN".</t>
        </is>
      </c>
      <c r="F89" s="5" t="inlineStr">
        <is>
          <t>Program Editor / Protocol Wire Encoding</t>
        </is>
      </c>
      <c r="G89" s="4" t="inlineStr">
        <is>
          <t>Medium</t>
        </is>
      </c>
      <c r="H89" s="6" t="n">
        <v>46294</v>
      </c>
      <c r="I89" s="7" t="inlineStr">
        <is>
          <t>Completed</t>
        </is>
      </c>
      <c r="J89" s="5" t="inlineStr">
        <is>
          <t>813/813 tests passing (+5 regression tests added). Committed 427199e on feature/VNC_ACN_CNom. Merged into Bug_Enhancement_Sept_2026 2026-09-30 (git merge --no-ff).</t>
        </is>
      </c>
    </row>
    <row r="90" ht="178.2" customHeight="1">
      <c r="A90" s="4" t="n">
        <v>90</v>
      </c>
      <c r="B90" s="5" t="inlineStr">
        <is>
          <t>Program Editor - Battery-Relative Units</t>
        </is>
      </c>
      <c r="C90" s="4" t="inlineStr">
        <is>
          <t>T-72</t>
        </is>
      </c>
      <c r="D90" s="5" t="inlineStr">
        <is>
          <t>Generalize ACN divisor, require explicit non-zero coefficient/divisor</t>
        </is>
      </c>
      <c r="E90" s="5" t="inlineStr">
        <is>
          <t>Generalized the ACN family from a fixed hour-divisor set (bare/1/2/4/5/10/20) to any positive-integer divisor (ACN3, ACN7, ...) across Nominal Values, Limit, and Registration, resolving to Amps via the existing value x (capacity/divisor) formula (BatteryUnitResolver.Resolve, OperatorConstants.AutoSpace unit regex, ValidationHelper, NominalValuesEditor.razor on-blur unit lookup, ProgramBuilder CutoffCondition/RegistrationType hex-byte mapping). Then tightened validation so a zero divisor ("ACN0"), a zero coefficient ("0 ACN3"), and a bare "ACN" with no divisor typed at all (previously silently defaulted to 5h) are all rejected as errors instead of passing silently or only failing later at transfer time. BatteryUnitResolver.Resolve itself still defaults a bare "ACN" it is handed to 5h, for backward compatibility with already-saved programs - only the editor's acceptance of newly typed input was tightened.</t>
        </is>
      </c>
      <c r="F90" s="5" t="inlineStr">
        <is>
          <t>Program Editor / Protocol Wire Encoding</t>
        </is>
      </c>
      <c r="G90" s="4" t="inlineStr">
        <is>
          <t>Medium</t>
        </is>
      </c>
      <c r="H90" s="6" t="n">
        <v>46295</v>
      </c>
      <c r="I90" s="7" t="inlineStr">
        <is>
          <t>Completed</t>
        </is>
      </c>
      <c r="J90" s="5" t="inlineStr">
        <is>
          <t>857/857 tests passing (+44 this branch: arbitrary-divisor resolution, zero/bare-divisor and zero-coefficient rejection across Nominal/Limit/Registration, end-to-end byte-packet parity for a non-standard divisor). Committed 4df2cee on feature/VNC_ACN_CNom, pushed to origin. Not yet live-verified in browser. Merged into Bug_Enhancement_Sept_2026 2026-09-30 (git merge --no-ff); resolved conflicts in DecoderService.cs (kept this branch's low-byte-first CRC fix, matches docs/PROTOCOL.md), OperatorConstants.cs/ValidationHelper.cs (combined with this branch's PERCAh work), ProgramToBytePacketTests.cs (concatenated both branches' new tests).</t>
        </is>
      </c>
    </row>
    <row r="91" ht="178.2" customHeight="1">
      <c r="A91" s="4" t="n">
        <v>91</v>
      </c>
      <c r="B91" s="5" t="inlineStr">
        <is>
          <t>Program Editor - Battery-Relative Units</t>
        </is>
      </c>
      <c r="C91" s="4" t="inlineStr">
        <is>
          <t>T-73</t>
        </is>
      </c>
      <c r="D91" s="5" t="inlineStr">
        <is>
          <t>Add design/reference docs for LOCKAh/PERCAh and BM program packet formats</t>
        </is>
      </c>
      <c r="E91" s="5" t="inlineStr">
        <is>
          <t>Committed four reference documents into WebAppME/docs/: the LOCKAh/PERCAh capacity-relative step-limit design (2026-09-17-percah-ahdef-design.md, covering the AhDef/PERCAh feature design and its LOCKAh=0x16 opcode resolution), the BM Program Frame Format V3.2 wire spec (bm_program_v3.2.md), and two Program Packet reference-notes revisions (v0.13 and v0.15) documenting step-data encoding worked examples including the V0.15 CNom/battery-context sample used for the ACN/CNom validation work in T-72. Docs only, no code change.</t>
        </is>
      </c>
      <c r="F91" s="5" t="inlineStr">
        <is>
          <t>Documentation</t>
        </is>
      </c>
      <c r="G91" s="4" t="inlineStr">
        <is>
          <t>Low</t>
        </is>
      </c>
      <c r="H91" s="6" t="n">
        <v>46295</v>
      </c>
      <c r="I91" s="7" t="inlineStr">
        <is>
          <t>Completed</t>
        </is>
      </c>
    </row>
    <row r="92" ht="178.2" customHeight="1">
      <c r="A92" s="4" t="n">
        <v>92</v>
      </c>
      <c r="B92" s="5" t="inlineStr">
        <is>
          <t>Documentation</t>
        </is>
      </c>
      <c r="C92" s="4" t="inlineStr">
        <is>
          <t>T-74</t>
        </is>
      </c>
      <c r="D92" s="5" t="inlineStr">
        <is>
          <t>Add "exe file tracker" docs folder</t>
        </is>
      </c>
      <c r="E92" s="5" t="inlineStr">
        <is>
          <t>Created WebAppME/docs/exe file tracker/ with a README.md placeholder describing its purpose (tracking notes for built WebAppME .exe files). README added because git does not track empty folders. Docs only, no code change.</t>
        </is>
      </c>
      <c r="F92" s="5" t="inlineStr">
        <is>
          <t>Documentation</t>
        </is>
      </c>
      <c r="G92" s="4" t="inlineStr">
        <is>
          <t>Low</t>
        </is>
      </c>
      <c r="H92" s="6" t="n">
        <v>46295</v>
      </c>
      <c r="I92" s="7" t="inlineStr">
        <is>
          <t>Completed</t>
        </is>
      </c>
      <c r="J92" t="inlineStr">
        <is>
          <t>Committed a0b06ef on Bug_Enhancement_Sept_2026.</t>
        </is>
      </c>
    </row>
  </sheetData>
  <autoFilter ref="A1:J25"/>
  <conditionalFormatting sqref="I2:I200">
    <cfRule type="cellIs" priority="6" operator="equal" dxfId="3">
      <formula>"Pending"</formula>
    </cfRule>
    <cfRule type="cellIs" priority="7" operator="equal" dxfId="2">
      <formula>"Completed"</formula>
    </cfRule>
    <cfRule type="cellIs" priority="8" operator="equal" dxfId="1">
      <formula>"In Progress"</formula>
    </cfRule>
    <cfRule type="cellIs" priority="9" operator="equal" dxfId="0">
      <formula>"Blocked"</formula>
    </cfRule>
  </conditionalFormatting>
  <dataValidations count="2">
    <dataValidation sqref="I2:I25" showDropDown="0" showInputMessage="0" showErrorMessage="0" allowBlank="0" type="list">
      <formula1>"Pending,In Progress,Completed,Blocked"</formula1>
      <formula2>0</formula2>
    </dataValidation>
    <dataValidation sqref="G2:G25" showDropDown="0" showInputMessage="0" showErrorMessage="0" allowBlank="0" type="list">
      <formula1>"High,Medium,Low"</formula1>
      <formula2>0</formula2>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B2:I32"/>
  <sheetViews>
    <sheetView showGridLines="0" zoomScaleNormal="100" workbookViewId="0">
      <selection activeCell="A1" sqref="A1"/>
    </sheetView>
  </sheetViews>
  <sheetFormatPr baseColWidth="8" defaultColWidth="8.7109375" defaultRowHeight="15"/>
  <cols>
    <col width="3" customWidth="1" min="1" max="1"/>
    <col width="26" customWidth="1" min="2" max="2"/>
    <col width="14" customWidth="1" min="3" max="4"/>
    <col width="12" customWidth="1" min="5" max="5"/>
    <col width="30" customWidth="1" min="6" max="6"/>
    <col width="14" customWidth="1" min="7" max="7"/>
    <col width="10" customWidth="1" min="8" max="8"/>
    <col width="12" customWidth="1" min="9" max="9"/>
  </cols>
  <sheetData>
    <row r="2" ht="21" customHeight="1">
      <c r="B2" s="1" t="inlineStr">
        <is>
          <t>Summary Dashboard</t>
        </is>
      </c>
    </row>
    <row r="3">
      <c r="B3" s="2" t="inlineStr">
        <is>
          <t>Auto-calculated from 'Task Sheet'.</t>
        </is>
      </c>
    </row>
    <row r="5">
      <c r="B5" s="19" t="inlineStr">
        <is>
          <t>Status</t>
        </is>
      </c>
      <c r="C5" s="19" t="inlineStr">
        <is>
          <t>Count</t>
        </is>
      </c>
      <c r="D5" s="19" t="inlineStr">
        <is>
          <t>% of Total</t>
        </is>
      </c>
      <c r="F5" s="20" t="inlineStr">
        <is>
          <t>Category</t>
        </is>
      </c>
      <c r="G5" s="20" t="inlineStr">
        <is>
          <t>Total Tasks</t>
        </is>
      </c>
      <c r="H5" s="20" t="inlineStr">
        <is>
          <t>Pending</t>
        </is>
      </c>
      <c r="I5" s="20" t="inlineStr">
        <is>
          <t>Completed</t>
        </is>
      </c>
    </row>
    <row r="6">
      <c r="B6" s="21" t="inlineStr">
        <is>
          <t>Pending</t>
        </is>
      </c>
      <c r="C6" s="21">
        <f>COUNTIF('Task Sheet'!$I$2:$I$60,B6)</f>
        <v/>
      </c>
      <c r="D6" s="22">
        <f>C6/COUNTA('Task Sheet'!$I$2:$I$60)</f>
        <v/>
      </c>
      <c r="F6" s="23" t="inlineStr">
        <is>
          <t>Data Layer (EF Core Migration)</t>
        </is>
      </c>
      <c r="G6" s="21">
        <f>COUNTIF('Task Sheet'!$F$2:$F$60,F6)</f>
        <v/>
      </c>
      <c r="H6" s="21">
        <f>COUNTIFS('Task Sheet'!$F$2:$F$60,F6,'Task Sheet'!$I$2:$I$60,"Pending")</f>
        <v/>
      </c>
      <c r="I6" s="21">
        <f>COUNTIFS('Task Sheet'!$F$2:$F$60,F6,'Task Sheet'!$I$2:$I$60,"Completed")</f>
        <v/>
      </c>
    </row>
    <row r="7">
      <c r="B7" s="21" t="inlineStr">
        <is>
          <t>In Progress</t>
        </is>
      </c>
      <c r="C7" s="21">
        <f>COUNTIF('Task Sheet'!$I$2:$I$60,B7)</f>
        <v/>
      </c>
      <c r="D7" s="22">
        <f>C7/COUNTA('Task Sheet'!$I$2:$I$60)</f>
        <v/>
      </c>
      <c r="F7" s="23" t="inlineStr">
        <is>
          <t>Data Layer (EF Core)</t>
        </is>
      </c>
      <c r="G7" s="21">
        <f>COUNTIF('Task Sheet'!$F$2:$F$60,F7)</f>
        <v/>
      </c>
      <c r="H7" s="21">
        <f>COUNTIFS('Task Sheet'!$F$2:$F$60,F7,'Task Sheet'!$I$2:$I$60,"Pending")</f>
        <v/>
      </c>
      <c r="I7" s="21">
        <f>COUNTIFS('Task Sheet'!$F$2:$F$60,F7,'Task Sheet'!$I$2:$I$60,"Completed")</f>
        <v/>
      </c>
    </row>
    <row r="8">
      <c r="B8" s="21" t="inlineStr">
        <is>
          <t>Completed</t>
        </is>
      </c>
      <c r="C8" s="21">
        <f>COUNTIF('Task Sheet'!$I$2:$I$60,B8)</f>
        <v/>
      </c>
      <c r="D8" s="22">
        <f>C8/COUNTA('Task Sheet'!$I$2:$I$60)</f>
        <v/>
      </c>
      <c r="F8" s="23" t="inlineStr">
        <is>
          <t>Data Layer (Repository)</t>
        </is>
      </c>
      <c r="G8" s="21">
        <f>COUNTIF('Task Sheet'!$F$2:$F$60,F8)</f>
        <v/>
      </c>
      <c r="H8" s="21">
        <f>COUNTIFS('Task Sheet'!$F$2:$F$60,F8,'Task Sheet'!$I$2:$I$60,"Pending")</f>
        <v/>
      </c>
      <c r="I8" s="21">
        <f>COUNTIFS('Task Sheet'!$F$2:$F$60,F8,'Task Sheet'!$I$2:$I$60,"Completed")</f>
        <v/>
      </c>
    </row>
    <row r="9">
      <c r="B9" s="21" t="inlineStr">
        <is>
          <t>Blocked</t>
        </is>
      </c>
      <c r="C9" s="21">
        <f>COUNTIF('Task Sheet'!$I$2:$I$60,B9)</f>
        <v/>
      </c>
      <c r="D9" s="22">
        <f>C9/COUNTA('Task Sheet'!$I$2:$I$60)</f>
        <v/>
      </c>
      <c r="F9" s="23" t="inlineStr">
        <is>
          <t>Data Model</t>
        </is>
      </c>
      <c r="G9" s="21">
        <f>COUNTIF('Task Sheet'!$F$2:$F$60,F9)</f>
        <v/>
      </c>
      <c r="H9" s="21">
        <f>COUNTIFS('Task Sheet'!$F$2:$F$60,F9,'Task Sheet'!$I$2:$I$60,"Pending")</f>
        <v/>
      </c>
      <c r="I9" s="21">
        <f>COUNTIFS('Task Sheet'!$F$2:$F$60,F9,'Task Sheet'!$I$2:$I$60,"Completed")</f>
        <v/>
      </c>
    </row>
    <row r="10">
      <c r="F10" s="23" t="inlineStr">
        <is>
          <t>Hardware / Simulator</t>
        </is>
      </c>
      <c r="G10" s="21">
        <f>COUNTIF('Task Sheet'!$F$2:$F$60,F10)</f>
        <v/>
      </c>
      <c r="H10" s="21">
        <f>COUNTIFS('Task Sheet'!$F$2:$F$60,F10,'Task Sheet'!$I$2:$I$60,"Pending")</f>
        <v/>
      </c>
      <c r="I10" s="21">
        <f>COUNTIFS('Task Sheet'!$F$2:$F$60,F10,'Task Sheet'!$I$2:$I$60,"Completed")</f>
        <v/>
      </c>
    </row>
    <row r="11">
      <c r="F11" s="23" t="inlineStr">
        <is>
          <t>Protocol (Decoder)</t>
        </is>
      </c>
      <c r="G11" s="21">
        <f>COUNTIF('Task Sheet'!$F$2:$F$60,F11)</f>
        <v/>
      </c>
      <c r="H11" s="21">
        <f>COUNTIFS('Task Sheet'!$F$2:$F$60,F11,'Task Sheet'!$I$2:$I$60,"Pending")</f>
        <v/>
      </c>
      <c r="I11" s="21">
        <f>COUNTIFS('Task Sheet'!$F$2:$F$60,F11,'Task Sheet'!$I$2:$I$60,"Completed")</f>
        <v/>
      </c>
    </row>
    <row r="12">
      <c r="F12" s="23" t="inlineStr">
        <is>
          <t>Protocol (Verification)</t>
        </is>
      </c>
      <c r="G12" s="21">
        <f>COUNTIF('Task Sheet'!$F$2:$F$60,F12)</f>
        <v/>
      </c>
      <c r="H12" s="21">
        <f>COUNTIFS('Task Sheet'!$F$2:$F$60,F12,'Task Sheet'!$I$2:$I$60,"Pending")</f>
        <v/>
      </c>
      <c r="I12" s="21">
        <f>COUNTIFS('Task Sheet'!$F$2:$F$60,F12,'Task Sheet'!$I$2:$I$60,"Completed")</f>
        <v/>
      </c>
    </row>
    <row r="13">
      <c r="F13" s="23" t="inlineStr">
        <is>
          <t>Protocol (Wire Encoding)</t>
        </is>
      </c>
      <c r="G13" s="21">
        <f>COUNTIF('Task Sheet'!$F$2:$F$60,F13)</f>
        <v/>
      </c>
      <c r="H13" s="21">
        <f>COUNTIFS('Task Sheet'!$F$2:$F$60,F13,'Task Sheet'!$I$2:$I$60,"Pending")</f>
        <v/>
      </c>
      <c r="I13" s="21">
        <f>COUNTIFS('Task Sheet'!$F$2:$F$60,F13,'Task Sheet'!$I$2:$I$60,"Completed")</f>
        <v/>
      </c>
    </row>
    <row r="14">
      <c r="F14" s="23" t="inlineStr">
        <is>
          <t>Protocol / Networking (TCP)</t>
        </is>
      </c>
      <c r="G14" s="21">
        <f>COUNTIF('Task Sheet'!$F$2:$F$60,F14)</f>
        <v/>
      </c>
      <c r="H14" s="21">
        <f>COUNTIFS('Task Sheet'!$F$2:$F$60,F14,'Task Sheet'!$I$2:$I$60,"Pending")</f>
        <v/>
      </c>
      <c r="I14" s="21">
        <f>COUNTIFS('Task Sheet'!$F$2:$F$60,F14,'Task Sheet'!$I$2:$I$60,"Completed")</f>
        <v/>
      </c>
    </row>
    <row r="15">
      <c r="F15" s="23" t="inlineStr">
        <is>
          <t>QA / Full-Solution Verification</t>
        </is>
      </c>
      <c r="G15" s="21">
        <f>COUNTIF('Task Sheet'!$F$2:$F$60,F15)</f>
        <v/>
      </c>
      <c r="H15" s="21">
        <f>COUNTIFS('Task Sheet'!$F$2:$F$60,F15,'Task Sheet'!$I$2:$I$60,"Pending")</f>
        <v/>
      </c>
      <c r="I15" s="21">
        <f>COUNTIFS('Task Sheet'!$F$2:$F$60,F15,'Task Sheet'!$I$2:$I$60,"Completed")</f>
        <v/>
      </c>
    </row>
    <row r="16">
      <c r="F16" s="23" t="inlineStr">
        <is>
          <t>Service Layer</t>
        </is>
      </c>
      <c r="G16" s="21">
        <f>COUNTIF('Task Sheet'!$F$2:$F$60,F16)</f>
        <v/>
      </c>
      <c r="H16" s="21">
        <f>COUNTIFS('Task Sheet'!$F$2:$F$60,F16,'Task Sheet'!$I$2:$I$60,"Pending")</f>
        <v/>
      </c>
      <c r="I16" s="21">
        <f>COUNTIFS('Task Sheet'!$F$2:$F$60,F16,'Task Sheet'!$I$2:$I$60,"Completed")</f>
        <v/>
      </c>
    </row>
    <row r="17">
      <c r="F17" s="23" t="inlineStr">
        <is>
          <t>Testing / Infra</t>
        </is>
      </c>
      <c r="G17" s="21">
        <f>COUNTIF('Task Sheet'!$F$2:$F$60,F17)</f>
        <v/>
      </c>
      <c r="H17" s="21">
        <f>COUNTIFS('Task Sheet'!$F$2:$F$60,F17,'Task Sheet'!$I$2:$I$60,"Pending")</f>
        <v/>
      </c>
      <c r="I17" s="21">
        <f>COUNTIFS('Task Sheet'!$F$2:$F$60,F17,'Task Sheet'!$I$2:$I$60,"Completed")</f>
        <v/>
      </c>
    </row>
    <row r="18">
      <c r="F18" s="23" t="inlineStr">
        <is>
          <t>Testing / Integration</t>
        </is>
      </c>
      <c r="G18" s="21">
        <f>COUNTIF('Task Sheet'!$F$2:$F$60,F18)</f>
        <v/>
      </c>
      <c r="H18" s="21">
        <f>COUNTIFS('Task Sheet'!$F$2:$F$60,F18,'Task Sheet'!$I$2:$I$60,"Pending")</f>
        <v/>
      </c>
      <c r="I18" s="21">
        <f>COUNTIFS('Task Sheet'!$F$2:$F$60,F18,'Task Sheet'!$I$2:$I$60,"Completed")</f>
        <v/>
      </c>
    </row>
    <row r="19">
      <c r="F19" s="23" t="inlineStr">
        <is>
          <t>Web API / Controller</t>
        </is>
      </c>
      <c r="G19" s="21">
        <f>COUNTIF('Task Sheet'!$F$2:$F$60,F19)</f>
        <v/>
      </c>
      <c r="H19" s="21">
        <f>COUNTIFS('Task Sheet'!$F$2:$F$60,F19,'Task Sheet'!$I$2:$I$60,"Pending")</f>
        <v/>
      </c>
      <c r="I19" s="21">
        <f>COUNTIFS('Task Sheet'!$F$2:$F$60,F19,'Task Sheet'!$I$2:$I$60,"Completed")</f>
        <v/>
      </c>
    </row>
    <row r="20">
      <c r="F20" s="23" t="inlineStr">
        <is>
          <t>Web UI (Blazor Dashboard)</t>
        </is>
      </c>
      <c r="G20" s="21">
        <f>COUNTIF('Task Sheet'!$F$2:$F$60,F20)</f>
        <v/>
      </c>
      <c r="H20" s="21">
        <f>COUNTIFS('Task Sheet'!$F$2:$F$60,F20,'Task Sheet'!$I$2:$I$60,"Pending")</f>
        <v/>
      </c>
      <c r="I20" s="21">
        <f>COUNTIFS('Task Sheet'!$F$2:$F$60,F20,'Task Sheet'!$I$2:$I$60,"Completed")</f>
        <v/>
      </c>
    </row>
    <row r="21">
      <c r="F21" s="23" t="inlineStr">
        <is>
          <t>Documentation</t>
        </is>
      </c>
      <c r="G21" s="21">
        <f>COUNTIF('Task Sheet'!$F$2:$F$60,F21)</f>
        <v/>
      </c>
      <c r="H21" s="21">
        <f>COUNTIFS('Task Sheet'!$F$2:$F$60,F21,'Task Sheet'!$I$2:$I$60,"Pending")</f>
        <v/>
      </c>
      <c r="I21" s="21">
        <f>COUNTIFS('Task Sheet'!$F$2:$F$60,F21,'Task Sheet'!$I$2:$I$60,"Completed")</f>
        <v/>
      </c>
    </row>
    <row r="22">
      <c r="F22" s="23" t="inlineStr">
        <is>
          <t>Feature / Notifications</t>
        </is>
      </c>
      <c r="G22" s="21">
        <f>COUNTIF('Task Sheet'!$F$2:$F$60,F22)</f>
        <v/>
      </c>
      <c r="H22" s="21">
        <f>COUNTIFS('Task Sheet'!$F$2:$F$60,F22,'Task Sheet'!$I$2:$I$60,"Pending")</f>
        <v/>
      </c>
      <c r="I22" s="21">
        <f>COUNTIFS('Task Sheet'!$F$2:$F$60,F22,'Task Sheet'!$I$2:$I$60,"Completed")</f>
        <v/>
      </c>
    </row>
    <row r="23">
      <c r="B23" s="20" t="inlineStr">
        <is>
          <t>Project / Plan</t>
        </is>
      </c>
      <c r="C23" s="20" t="inlineStr">
        <is>
          <t>Total Tasks</t>
        </is>
      </c>
      <c r="D23" s="20" t="inlineStr">
        <is>
          <t>Pending</t>
        </is>
      </c>
      <c r="E23" s="20" t="inlineStr">
        <is>
          <t>Completed</t>
        </is>
      </c>
    </row>
    <row r="24" ht="27" customHeight="1">
      <c r="B24" s="23" t="inlineStr">
        <is>
          <t>Device/Board/Channel Hierarchy</t>
        </is>
      </c>
      <c r="C24" s="21">
        <f>COUNTIF('Task Sheet'!$B$2:$B$60,B24)</f>
        <v/>
      </c>
      <c r="D24" s="21">
        <f>COUNTIFS('Task Sheet'!$B$2:$B$60,B24,'Task Sheet'!$I$2:$I$60,"Pending")</f>
        <v/>
      </c>
      <c r="E24" s="21">
        <f>COUNTIFS('Task Sheet'!$B$2:$B$60,B24,'Task Sheet'!$I$2:$I$60,"Completed")</f>
        <v/>
      </c>
    </row>
    <row r="25">
      <c r="B25" s="23" t="inlineStr">
        <is>
          <t>Hardware Simulator</t>
        </is>
      </c>
      <c r="C25" s="21">
        <f>COUNTIF('Task Sheet'!$B$2:$B$60,B25)</f>
        <v/>
      </c>
      <c r="D25" s="21">
        <f>COUNTIFS('Task Sheet'!$B$2:$B$60,B25,'Task Sheet'!$I$2:$I$60,"Pending")</f>
        <v/>
      </c>
      <c r="E25" s="21">
        <f>COUNTIFS('Task Sheet'!$B$2:$B$60,B25,'Task Sheet'!$I$2:$I$60,"Completed")</f>
        <v/>
      </c>
    </row>
    <row r="26">
      <c r="B26" s="23" t="inlineStr">
        <is>
          <t>TCP Connection Multiplexing</t>
        </is>
      </c>
      <c r="C26" s="21">
        <f>COUNTIF('Task Sheet'!$B$2:$B$60,B26)</f>
        <v/>
      </c>
      <c r="D26" s="21">
        <f>COUNTIFS('Task Sheet'!$B$2:$B$60,B26,'Task Sheet'!$I$2:$I$60,"Pending")</f>
        <v/>
      </c>
      <c r="E26" s="21">
        <f>COUNTIFS('Task Sheet'!$B$2:$B$60,B26,'Task Sheet'!$I$2:$I$60,"Completed")</f>
        <v/>
      </c>
    </row>
    <row r="27">
      <c r="B27" s="23" t="inlineStr">
        <is>
          <t>Live-Test Bugfixes</t>
        </is>
      </c>
      <c r="C27" s="21">
        <f>COUNTIF('Task Sheet'!$B$2:$B$60,B27)</f>
        <v/>
      </c>
      <c r="D27" s="21">
        <f>COUNTIFS('Task Sheet'!$B$2:$B$60,B27,'Task Sheet'!$I$2:$I$60,"Pending")</f>
        <v/>
      </c>
      <c r="E27" s="21">
        <f>COUNTIFS('Task Sheet'!$B$2:$B$60,B27,'Task Sheet'!$I$2:$I$60,"Completed")</f>
        <v/>
      </c>
    </row>
    <row r="28" ht="26.25" customHeight="1">
      <c r="B28" s="23" t="inlineStr">
        <is>
          <t>Customer Deployment Documentation</t>
        </is>
      </c>
      <c r="C28" s="21">
        <f>COUNTIF('Task Sheet'!$B$2:$B$60,B28)</f>
        <v/>
      </c>
      <c r="D28" s="21">
        <f>COUNTIFS('Task Sheet'!$B$2:$B$60,B28,'Task Sheet'!$I$2:$I$60,"Pending")</f>
        <v/>
      </c>
      <c r="E28" s="21">
        <f>COUNTIFS('Task Sheet'!$B$2:$B$60,B28,'Task Sheet'!$I$2:$I$60,"Completed")</f>
        <v/>
      </c>
    </row>
    <row r="29" ht="26.25" customHeight="1">
      <c r="B29" s="23" t="inlineStr">
        <is>
          <t>UI Bug Fixes &amp; QA Documentation</t>
        </is>
      </c>
      <c r="C29" s="21">
        <f>COUNTIF('Task Sheet'!$B$2:$B$60,B29)</f>
        <v/>
      </c>
      <c r="D29" s="21">
        <f>COUNTIFS('Task Sheet'!$B$2:$B$60,B29,'Task Sheet'!$I$2:$I$60,"Pending")</f>
        <v/>
      </c>
      <c r="E29" s="21">
        <f>COUNTIFS('Task Sheet'!$B$2:$B$60,B29,'Task Sheet'!$I$2:$I$60,"Completed")</f>
        <v/>
      </c>
    </row>
    <row r="30" ht="26.25" customHeight="1">
      <c r="B30" s="23" t="inlineStr">
        <is>
          <t>System Documentation &amp; Dashboard Polish</t>
        </is>
      </c>
      <c r="C30" s="21">
        <f>COUNTIF('Task Sheet'!$B$2:$B$60,B30)</f>
        <v/>
      </c>
      <c r="D30" s="21">
        <f>COUNTIFS('Task Sheet'!$B$2:$B$60,B30,'Task Sheet'!$I$2:$I$60,"Pending")</f>
        <v/>
      </c>
      <c r="E30" s="21">
        <f>COUNTIFS('Task Sheet'!$B$2:$B$60,B30,'Task Sheet'!$I$2:$I$60,"Completed")</f>
        <v/>
      </c>
    </row>
    <row r="31">
      <c r="B31" s="23" t="inlineStr">
        <is>
          <t>Test Coverage Expansion</t>
        </is>
      </c>
      <c r="C31" s="21">
        <f>COUNTIF('Task Sheet'!$B$2:$B$60,B31)</f>
        <v/>
      </c>
      <c r="D31" s="21">
        <f>COUNTIFS('Task Sheet'!$B$2:$B$60,B31,'Task Sheet'!$I$2:$I$60,"Pending")</f>
        <v/>
      </c>
      <c r="E31" s="21">
        <f>COUNTIFS('Task Sheet'!$B$2:$B$60,B31,'Task Sheet'!$I$2:$I$60,"Completed")</f>
        <v/>
      </c>
    </row>
    <row r="32" ht="26.25" customHeight="1">
      <c r="B32" s="23" t="inlineStr">
        <is>
          <t>Dashboard Card &amp; Dialog Enhancements</t>
        </is>
      </c>
      <c r="C32" s="21">
        <f>COUNTIF('Task Sheet'!$B$2:$B$60,B32)</f>
        <v/>
      </c>
      <c r="D32" s="21">
        <f>COUNTIFS('Task Sheet'!$B$2:$B$60,B32,'Task Sheet'!$I$2:$I$60,"Pending")</f>
        <v/>
      </c>
      <c r="E32" s="21">
        <f>COUNTIFS('Task Sheet'!$B$2:$B$60,B32,'Task Sheet'!$I$2:$I$60,"Completed")</f>
        <v/>
      </c>
    </row>
  </sheetData>
  <pageMargins left="0.75" right="0.75" top="1" bottom="1" header="0.511811023622047" footer="0.511811023622047"/>
  <pageSetup orientation="portrait" paperSize="9" horizontalDpi="300" verticalDpi="30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2026-08-07T08:03:07Z</dcterms:created>
  <dcterms:modified xsi:type="dcterms:W3CDTF">2026-09-30T11:01:27Z</dcterms:modified>
  <cp:lastModifiedBy>Deepak CHOUGALE</cp:lastModifiedBy>
  <cp:revision>1</cp:revision>
</cp:coreProperties>
</file>